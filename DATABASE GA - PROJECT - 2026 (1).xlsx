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mc:AlternateContent xmlns:mc="http://schemas.openxmlformats.org/markup-compatibility/2006">
    <mc:Choice Requires="x15">
      <x15ac:absPath xmlns:x15ac="http://schemas.microsoft.com/office/spreadsheetml/2010/11/ac" url="C:\Users\04125050568\Downloads\"/>
    </mc:Choice>
  </mc:AlternateContent>
  <xr:revisionPtr revIDLastSave="0" documentId="13_ncr:1_{1A244033-899C-4046-A2AE-A92F2D25B43A}" xr6:coauthVersionLast="47" xr6:coauthVersionMax="47" xr10:uidLastSave="{00000000-0000-0000-0000-000000000000}"/>
  <bookViews>
    <workbookView xWindow="-110" yWindow="-110" windowWidth="19420" windowHeight="11500" xr2:uid="{00000000-000D-0000-FFFF-FFFF00000000}"/>
  </bookViews>
  <sheets>
    <sheet name="Member List" sheetId="1" r:id="rId1"/>
    <sheet name="April" sheetId="3" r:id="rId2"/>
    <sheet name="Mei" sheetId="4" r:id="rId3"/>
  </sheets>
  <externalReferences>
    <externalReference r:id="rId4"/>
  </externalReferences>
  <definedNames>
    <definedName name="CalendarYear">[1]January!$AH$6</definedName>
    <definedName name="ColumnTitle1" localSheetId="2">List[[#Headers],[Project Name]]</definedName>
    <definedName name="ColumnTitle1">List[[#Headers],[Project Name]]</definedName>
    <definedName name="ColumnTitle13" localSheetId="2">[1]!EmployeeName[[#Headers],[Planning Project]]</definedName>
    <definedName name="ColumnTitle13">[1]!EmployeeName[[#Headers],[Planning Project]]</definedName>
    <definedName name="KeyCustom1">[1]January!$N$4</definedName>
    <definedName name="KeyCustom2">[1]January!$R$4</definedName>
    <definedName name="KeyPersonal">[1]January!$G$4</definedName>
    <definedName name="KeySick">[1]January!$K$4</definedName>
    <definedName name="KeyVacation">[1]January!$C$4</definedName>
    <definedName name="MonthName" localSheetId="1">April!$B$7</definedName>
    <definedName name="MonthName" localSheetId="2">Mei!$B$7</definedName>
    <definedName name="_xlnm.Print_Titles" localSheetId="1">April!$7:$9</definedName>
    <definedName name="_xlnm.Print_Titles" localSheetId="2">Mei!$7:$9</definedName>
    <definedName name="_xlnm.Print_Titles" localSheetId="0">'Member List'!$5:$5</definedName>
    <definedName name="Title1" localSheetId="2">[1]!January[[#Headers],[Employee name]]</definedName>
    <definedName name="Title1">[1]!January[[#Headers],[Employee name]]</definedName>
    <definedName name="Title10" localSheetId="2">[1]!October[[#Headers],[Employee name]]</definedName>
    <definedName name="Title10">[1]!October[[#Headers],[Employee name]]</definedName>
    <definedName name="Title11" localSheetId="2">[1]!November[[#Headers],[Employee name]]</definedName>
    <definedName name="Title11">[1]!November[[#Headers],[Employee name]]</definedName>
    <definedName name="Title12" localSheetId="2">[1]!December[[#Headers],[Employee name]]</definedName>
    <definedName name="Title12">[1]!December[[#Headers],[Employee name]]</definedName>
    <definedName name="Title2" localSheetId="2">[1]!February[[#Headers],[Employee name]]</definedName>
    <definedName name="Title2">[1]!February[[#Headers],[Employee name]]</definedName>
    <definedName name="Title3" localSheetId="2">[1]!March[[#Headers],[Employee name]]</definedName>
    <definedName name="Title3">[1]!March[[#Headers],[Employee name]]</definedName>
    <definedName name="Title4">#REF!</definedName>
    <definedName name="Title5">#REF!</definedName>
    <definedName name="Title6" localSheetId="2">[1]!June[[#Headers],[Employee name]]</definedName>
    <definedName name="Title6">[1]!June[[#Headers],[Employee name]]</definedName>
    <definedName name="Title7" localSheetId="2">[1]!July[[#Headers],[Employee name]]</definedName>
    <definedName name="Title7">[1]!July[[#Headers],[Employee name]]</definedName>
    <definedName name="Title8" localSheetId="2">[1]!August[[#Headers],[Employee name]]</definedName>
    <definedName name="Title8">[1]!August[[#Headers],[Employee name]]</definedName>
    <definedName name="Title9" localSheetId="2">[1]!September[[#Headers],[Employee name]]</definedName>
    <definedName name="Title9">[1]!September[[#Headers],[Employee name]]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4" i="3" l="1"/>
  <c r="AH15" i="3"/>
  <c r="AH16" i="3"/>
  <c r="AH17" i="3"/>
  <c r="AH18" i="3"/>
  <c r="AH19" i="3"/>
  <c r="AH20" i="3"/>
  <c r="AH21" i="3"/>
  <c r="AH13" i="3"/>
  <c r="U22" i="3"/>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H13" i="4"/>
  <c r="AH12" i="4"/>
  <c r="AH11" i="4"/>
  <c r="AH10" i="4"/>
  <c r="AH9" i="4"/>
  <c r="AG22" i="3"/>
  <c r="AF22" i="3"/>
  <c r="AE22" i="3"/>
  <c r="AD22" i="3"/>
  <c r="AC22" i="3"/>
  <c r="AB22" i="3"/>
  <c r="AA22" i="3"/>
  <c r="Z22" i="3"/>
  <c r="Y22" i="3"/>
  <c r="X22" i="3"/>
  <c r="W22" i="3"/>
  <c r="V22" i="3"/>
  <c r="T22" i="3"/>
  <c r="S22" i="3"/>
  <c r="R22" i="3"/>
  <c r="Q22" i="3"/>
  <c r="P22" i="3"/>
  <c r="O22" i="3"/>
  <c r="N22" i="3"/>
  <c r="M22" i="3"/>
  <c r="L22" i="3"/>
  <c r="K22" i="3"/>
  <c r="J22" i="3"/>
  <c r="I22" i="3"/>
  <c r="H22" i="3"/>
  <c r="G22" i="3"/>
  <c r="F22" i="3"/>
  <c r="E22" i="3"/>
  <c r="D22" i="3"/>
  <c r="C22" i="3"/>
  <c r="B22" i="3"/>
  <c r="AH12" i="3"/>
  <c r="AH11" i="3"/>
  <c r="AH10" i="3"/>
  <c r="AH9" i="3"/>
  <c r="AH14" i="4" l="1"/>
  <c r="AH22" i="3"/>
  <c r="AD7" i="4"/>
  <c r="N7" i="4"/>
  <c r="M7" i="4"/>
  <c r="AB7" i="4"/>
  <c r="AA7" i="4"/>
  <c r="K7" i="4"/>
  <c r="L7" i="4"/>
  <c r="Z7" i="4"/>
  <c r="R7" i="4"/>
  <c r="J7" i="4"/>
  <c r="AH6" i="4"/>
  <c r="X7" i="4"/>
  <c r="H7" i="4"/>
  <c r="V7" i="4"/>
  <c r="D7" i="4"/>
  <c r="S7" i="4"/>
  <c r="C7" i="4"/>
  <c r="Y7" i="4"/>
  <c r="Q7" i="4"/>
  <c r="I7" i="4"/>
  <c r="AF7" i="4"/>
  <c r="P7" i="4"/>
  <c r="F7" i="4"/>
  <c r="AC7" i="4"/>
  <c r="U7" i="4"/>
  <c r="E7" i="4"/>
  <c r="T7" i="4"/>
  <c r="AE7" i="4"/>
  <c r="W7" i="4"/>
  <c r="O7" i="4"/>
  <c r="G7" i="4"/>
  <c r="AC7" i="3"/>
  <c r="E7" i="3"/>
  <c r="P7" i="3"/>
  <c r="AB7" i="3"/>
  <c r="T7" i="3"/>
  <c r="L7" i="3"/>
  <c r="D7" i="3"/>
  <c r="Z7" i="3"/>
  <c r="J7" i="3"/>
  <c r="Q7" i="3"/>
  <c r="X7" i="3"/>
  <c r="AA7" i="3"/>
  <c r="S7" i="3"/>
  <c r="K7" i="3"/>
  <c r="C7" i="3"/>
  <c r="R7" i="3"/>
  <c r="AH6" i="3"/>
  <c r="I7" i="3"/>
  <c r="Y7" i="3"/>
  <c r="AE7" i="3"/>
  <c r="W7" i="3"/>
  <c r="O7" i="3"/>
  <c r="G7" i="3"/>
  <c r="AD7" i="3"/>
  <c r="V7" i="3"/>
  <c r="N7" i="3"/>
  <c r="F7" i="3"/>
  <c r="U7" i="3"/>
  <c r="M7" i="3"/>
  <c r="AF7" i="3"/>
  <c r="H7" i="3"/>
</calcChain>
</file>

<file path=xl/sharedStrings.xml><?xml version="1.0" encoding="utf-8"?>
<sst xmlns="http://schemas.openxmlformats.org/spreadsheetml/2006/main" count="274" uniqueCount="119">
  <si>
    <t>Street Address</t>
  </si>
  <si>
    <t>Phone</t>
  </si>
  <si>
    <t>PROJECT LIST GA</t>
  </si>
  <si>
    <t>Project Name</t>
  </si>
  <si>
    <t>Position Plant</t>
  </si>
  <si>
    <t>Due Date</t>
  </si>
  <si>
    <t>PIC (Depart)</t>
  </si>
  <si>
    <t>Vendor/Pelaksana</t>
  </si>
  <si>
    <t>Status</t>
  </si>
  <si>
    <t>Remark</t>
  </si>
  <si>
    <t>April</t>
  </si>
  <si>
    <t>Custom 1</t>
  </si>
  <si>
    <t>Custom 2</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</si>
  <si>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</si>
  <si>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</si>
  <si>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</si>
  <si>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</si>
  <si>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</si>
  <si>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</si>
  <si>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</si>
  <si>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</si>
  <si>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</si>
  <si>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</si>
  <si>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</si>
  <si>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</si>
  <si>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</si>
  <si>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</si>
  <si>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</si>
  <si>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</si>
  <si>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</si>
  <si>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</si>
  <si>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</si>
  <si>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</si>
  <si>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</si>
  <si>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</si>
  <si>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</si>
  <si>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</si>
  <si>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</si>
  <si>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</si>
  <si>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</si>
  <si>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</si>
  <si>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</si>
  <si>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</si>
  <si>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 xml:space="preserve"> </t>
  </si>
  <si>
    <t>Total days</t>
  </si>
  <si>
    <t>Work Progress</t>
  </si>
  <si>
    <t>Work</t>
  </si>
  <si>
    <t>W</t>
  </si>
  <si>
    <t>Time Schedule</t>
  </si>
  <si>
    <t>Rest</t>
  </si>
  <si>
    <t>R</t>
  </si>
  <si>
    <t>Troble</t>
  </si>
  <si>
    <t>T</t>
  </si>
  <si>
    <t xml:space="preserve">Time Schedule - Database - Work Progress GA </t>
  </si>
  <si>
    <t>Mei</t>
  </si>
  <si>
    <t>✅Finish</t>
  </si>
  <si>
    <t>🔄️On Progress</t>
  </si>
  <si>
    <t>⚠️Pending</t>
  </si>
  <si>
    <t>ACP Desain Wall 5R</t>
  </si>
  <si>
    <t>Depan Office Dalam</t>
  </si>
  <si>
    <t>Project/GA/</t>
  </si>
  <si>
    <t>KAL</t>
  </si>
  <si>
    <t>081319317756 (Pak Okta)</t>
  </si>
  <si>
    <t>Unnamed Road, Bontang Lestari, Kec. Bontang Sel., Kota Bontang, Kalimantan Timur 75325</t>
  </si>
  <si>
    <t xml:space="preserve">pengerjaan krangka di area depan dengan skapfolding bertahap </t>
  </si>
  <si>
    <r>
      <t xml:space="preserve">Unnamed Road, Bontang Lestari, Kec. Bontang Sel., Kota Bontang, Kalimantan Timur 75325 
Depart GA Team Leader : </t>
    </r>
    <r>
      <rPr>
        <b/>
        <i/>
        <sz val="11"/>
        <color rgb="FF0070C0"/>
        <rFont val="Arial"/>
        <family val="2"/>
        <scheme val="minor"/>
      </rPr>
      <t xml:space="preserve">+62 819 321 99100 </t>
    </r>
    <r>
      <rPr>
        <b/>
        <sz val="11"/>
        <color theme="1"/>
        <rFont val="Arial"/>
        <family val="2"/>
        <scheme val="minor"/>
      </rPr>
      <t xml:space="preserve">(Pradja) - </t>
    </r>
    <r>
      <rPr>
        <b/>
        <i/>
        <u/>
        <sz val="11"/>
        <color rgb="FF0070C0"/>
        <rFont val="Arial"/>
        <family val="2"/>
        <scheme val="minor"/>
      </rPr>
      <t>galuh.ramadhan@energi-up.com</t>
    </r>
  </si>
  <si>
    <t>Pembatas Jalan Trotoar</t>
  </si>
  <si>
    <t>Depan Utility Boiler</t>
  </si>
  <si>
    <t>pengerjaan pemasangan batu blok area pinggir jalan</t>
  </si>
  <si>
    <t>Pengecoran Parkiran</t>
  </si>
  <si>
    <t>Samping Kantin</t>
  </si>
  <si>
    <t>Status Pekerjaan</t>
  </si>
  <si>
    <t>🗣BELUM PENGAJUAN</t>
  </si>
  <si>
    <t>✒️PENGAJUAN</t>
  </si>
  <si>
    <t>Reklame Jalan Plant</t>
  </si>
  <si>
    <t>Project/EHS/GA</t>
  </si>
  <si>
    <t>Pintu Masuk Office Dalam</t>
  </si>
  <si>
    <t>Sekat Letter L Area Tamu Office Dalam</t>
  </si>
  <si>
    <t>Office Dalam</t>
  </si>
  <si>
    <t>Shelter Sopir Area Plant</t>
  </si>
  <si>
    <t>All Area Plant</t>
  </si>
  <si>
    <t>Gerbang Refenery 1</t>
  </si>
  <si>
    <t>Gerbang Refenery 2</t>
  </si>
  <si>
    <t>Refenery 1</t>
  </si>
  <si>
    <t>Refenery 2</t>
  </si>
  <si>
    <t>Halte Area Simpang Office</t>
  </si>
  <si>
    <t xml:space="preserve">Pertigaan Bus Office </t>
  </si>
  <si>
    <t>Pekerjaan Gerang POS 1</t>
  </si>
  <si>
    <t xml:space="preserve">Perbaikan/ Penambalan Jalan </t>
  </si>
  <si>
    <t>POS 1</t>
  </si>
  <si>
    <t xml:space="preserve">Pengecatan Marka Jalan </t>
  </si>
  <si>
    <t>Ref 1 dan Oil</t>
  </si>
  <si>
    <t>Pemasangan Sign K3 EHS</t>
  </si>
  <si>
    <t>Pengerjaan Parit</t>
  </si>
  <si>
    <t>GA</t>
  </si>
  <si>
    <t>GA/EHS</t>
  </si>
  <si>
    <t>WO/SPR</t>
  </si>
  <si>
    <t>CV NUR KAHFI</t>
  </si>
  <si>
    <t xml:space="preserve">Pengerjaan sudah terlihat dan selesai sesuai plot area </t>
  </si>
  <si>
    <t>Pekerjaan sudah di gali dan dibersihkan</t>
  </si>
  <si>
    <t xml:space="preserve">SIGN dilarang buang sampah </t>
  </si>
  <si>
    <t>Dept Project</t>
  </si>
  <si>
    <t>CV ADIPATI</t>
  </si>
  <si>
    <t>Start Date</t>
  </si>
  <si>
    <t>Unnamed Road, Bontang Lestari, Kec. Bontang Sel., Kota Bontang, Kalimantan Timur 75326</t>
  </si>
  <si>
    <t>Unnamed Road, Bontang Lestari, Kec. Bontang Sel., Kota Bontang, Kalimantan Timur 75327</t>
  </si>
  <si>
    <t>Unnamed Road, Bontang Lestari, Kec. Bontang Sel., Kota Bontang, Kalimantan Timur 75328</t>
  </si>
  <si>
    <t>Unnamed Road, Bontang Lestari, Kec. Bontang Sel., Kota Bontang, Kalimantan Timur 75329</t>
  </si>
  <si>
    <t>Unnamed Road, Bontang Lestari, Kec. Bontang Sel., Kota Bontang, Kalimantan Timur 75330</t>
  </si>
  <si>
    <t>Unnamed Road, Bontang Lestari, Kec. Bontang Sel., Kota Bontang, Kalimantan Timur 75331</t>
  </si>
  <si>
    <t xml:space="preserve">Pembuatan Akses Jalan WH ke Kantin </t>
  </si>
  <si>
    <t>Kantin</t>
  </si>
  <si>
    <t>GA/WH</t>
  </si>
  <si>
    <t>KCP</t>
  </si>
  <si>
    <t>Pembuatan Kanopi Parkiran</t>
  </si>
  <si>
    <t xml:space="preserve">Pembuatan Depo Air </t>
  </si>
  <si>
    <t>Kebutuhan Kantin</t>
  </si>
  <si>
    <t>All Area Kantin</t>
  </si>
  <si>
    <t>Completed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</si>
</sst>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lt;=9999999]###\-####;\(###\)\ ###\-####"/>
    <numFmt numFmtId="165" formatCode="00000"/>
    <numFmt numFmtId="166" formatCode="&quot;$&quot;#,##0.00"/>
    <numFmt numFmtId="167" formatCode="0;0;"/>
  </numFmts>
  <fonts count="20" x14ac:knownFonts="1">
    <font>
      <sz val="11"/>
      <name val="Arial"/>
      <family val="2"/>
      <scheme val="minor"/>
    </font>
    <font>
      <sz val="11"/>
      <color theme="1"/>
      <name val="Arial"/>
      <family val="2"/>
      <scheme val="minor"/>
    </font>
    <font>
      <sz val="8"/>
      <name val="Arial"/>
      <family val="2"/>
    </font>
    <font>
      <b/>
      <sz val="18"/>
      <color theme="0"/>
      <name val="Arial"/>
      <family val="2"/>
      <scheme val="major"/>
    </font>
    <font>
      <sz val="11"/>
      <name val="Arial"/>
      <family val="2"/>
    </font>
    <font>
      <sz val="11"/>
      <name val="Arial"/>
      <family val="2"/>
      <scheme val="minor"/>
    </font>
    <font>
      <b/>
      <sz val="11"/>
      <color theme="0"/>
      <name val="Arial"/>
      <family val="2"/>
      <scheme val="minor"/>
    </font>
    <font>
      <b/>
      <sz val="11"/>
      <color theme="1"/>
      <name val="Arial"/>
      <family val="2"/>
      <scheme val="minor"/>
    </font>
    <font>
      <sz val="11"/>
      <color theme="0"/>
      <name val="Arial"/>
      <family val="2"/>
      <scheme val="minor"/>
    </font>
    <font>
      <b/>
      <sz val="26"/>
      <color theme="3"/>
      <name val="Arial"/>
      <family val="2"/>
      <scheme val="minor"/>
    </font>
    <font>
      <b/>
      <sz val="18"/>
      <color theme="4" tint="9.9948118533890809E-2"/>
      <name val="Arial"/>
      <family val="2"/>
      <scheme val="minor"/>
    </font>
    <font>
      <b/>
      <sz val="18"/>
      <color theme="4" tint="-0.24994659260841701"/>
      <name val="Arial"/>
      <family val="2"/>
      <scheme val="minor"/>
    </font>
    <font>
      <b/>
      <sz val="72"/>
      <color theme="4" tint="0.249977111117893"/>
      <name val="Arial"/>
      <family val="2"/>
      <scheme val="minor"/>
    </font>
    <font>
      <b/>
      <sz val="11"/>
      <name val="Arial"/>
      <family val="2"/>
      <scheme val="minor"/>
    </font>
    <font>
      <b/>
      <sz val="18"/>
      <color theme="1"/>
      <name val="Arial"/>
      <family val="2"/>
      <scheme val="minor"/>
    </font>
    <font>
      <b/>
      <sz val="28"/>
      <name val="Arial"/>
      <family val="2"/>
      <scheme val="minor"/>
    </font>
    <font>
      <b/>
      <u/>
      <sz val="11"/>
      <name val="Arial"/>
      <family val="2"/>
      <scheme val="minor"/>
    </font>
    <font>
      <b/>
      <i/>
      <sz val="11"/>
      <color rgb="FF0070C0"/>
      <name val="Arial"/>
      <family val="2"/>
      <scheme val="minor"/>
    </font>
    <font>
      <b/>
      <i/>
      <u/>
      <sz val="11"/>
      <color rgb="FF0070C0"/>
      <name val="Arial"/>
      <family val="2"/>
      <scheme val="minor"/>
    </font>
    <font>
      <b/>
      <sz val="28"/>
      <name val="Bernard MT Condensed"/>
      <family val="1"/>
    </font>
  </fonts>
  <fills count="17">
    <fill>
      <patternFill patternType="none"/>
    </fill>
    <fill>
      <patternFill patternType="gray125"/>
    </fill>
    <fill>
      <patternFill patternType="solid">
        <fgColor theme="4" tint="-0.24994659260841701"/>
        <bgColor indexed="64"/>
      </patternFill>
    </fill>
    <fill>
      <patternFill patternType="solid">
        <fgColor theme="5"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2"/>
        <bgColor indexed="64"/>
      </patternFill>
    </fill>
    <fill>
      <patternFill patternType="solid">
        <fgColor theme="6" tint="0.59996337778862885"/>
        <bgColor indexed="64"/>
      </patternFill>
    </fill>
    <fill>
      <patternFill patternType="solid">
        <fgColor theme="4" tint="0.39994506668294322"/>
        <bgColor indexed="64"/>
      </patternFill>
    </fill>
    <fill>
      <patternFill patternType="solid">
        <fgColor theme="7" tint="0.59996337778862885"/>
        <bgColor indexed="64"/>
      </patternFill>
    </fill>
    <fill>
      <patternFill patternType="solid">
        <fgColor theme="7"/>
        <bgColor indexed="64"/>
      </patternFill>
    </fill>
    <fill>
      <patternFill patternType="solid">
        <fgColor theme="0"/>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rgb="FF00B0F0"/>
        <bgColor indexed="64"/>
      </patternFill>
    </fill>
    <fill>
      <patternFill patternType="solid">
        <fgColor theme="4" tint="0.59999389629810485"/>
        <bgColor indexed="64"/>
      </patternFill>
    </fill>
    <fill>
      <patternFill patternType="solid">
        <fgColor theme="4" tint="-0.249977111117893"/>
        <bgColor indexed="64"/>
      </patternFill>
    </fill>
  </fills>
  <borders count="6">
    <border>
      <left/>
      <right/>
      <top/>
      <bottom/>
      <diagonal/>
    </border>
    <border>
      <left style="thin">
        <color indexed="62"/>
      </left>
      <right/>
      <top style="thin">
        <color indexed="62"/>
      </top>
      <bottom/>
      <diagonal/>
    </border>
    <border>
      <left style="thin">
        <color indexed="64"/>
      </left>
      <right style="thin">
        <color indexed="64"/>
      </right>
      <top style="thin">
        <color indexed="64"/>
      </top>
      <bottom style="thin">
        <color indexed="64"/>
      </bottom>
      <diagonal/>
    </border>
    <border>
      <left/>
      <right/>
      <top style="thin">
        <color theme="4"/>
      </top>
      <bottom/>
      <diagonal/>
    </border>
    <border>
      <left/>
      <right/>
      <top/>
      <bottom style="thin">
        <color theme="4"/>
      </bottom>
      <diagonal/>
    </border>
    <border>
      <left/>
      <right style="thin">
        <color indexed="62"/>
      </right>
      <top/>
      <bottom/>
      <diagonal/>
    </border>
  </borders>
  <cellStyleXfs count="19">
    <xf numFmtId="0" fontId="0" fillId="0" borderId="0">
      <alignment horizontal="left" wrapText="1" indent="1"/>
    </xf>
    <xf numFmtId="0" fontId="3" fillId="2" borderId="0" applyNumberFormat="0" applyBorder="0" applyProtection="0">
      <alignment horizontal="left" vertical="center"/>
    </xf>
    <xf numFmtId="164" fontId="4" fillId="0" borderId="0" applyFont="0" applyFill="0" applyBorder="0" applyAlignment="0">
      <alignment wrapText="1"/>
    </xf>
    <xf numFmtId="165" fontId="4" fillId="0" borderId="0" applyFont="0" applyFill="0" applyBorder="0" applyAlignment="0">
      <alignment wrapText="1"/>
    </xf>
    <xf numFmtId="0" fontId="5" fillId="0" borderId="0" applyNumberFormat="0" applyFill="0" applyBorder="0" applyProtection="0">
      <alignment horizontal="left" wrapText="1" indent="1"/>
    </xf>
    <xf numFmtId="0" fontId="5" fillId="0" borderId="0" applyNumberFormat="0" applyFill="0" applyBorder="0" applyProtection="0">
      <alignment horizontal="left" wrapText="1" indent="1"/>
    </xf>
    <xf numFmtId="166" fontId="5" fillId="0" borderId="0" applyFill="0" applyBorder="0" applyAlignment="0" applyProtection="0"/>
    <xf numFmtId="0" fontId="9" fillId="0" borderId="0" applyNumberFormat="0" applyFill="0" applyBorder="0" applyProtection="0">
      <alignment vertical="top"/>
    </xf>
    <xf numFmtId="0" fontId="8" fillId="0" borderId="0">
      <alignment horizontal="left" vertical="center"/>
    </xf>
    <xf numFmtId="0" fontId="11" fillId="6" borderId="0" applyNumberFormat="0" applyBorder="0" applyProtection="0">
      <alignment horizontal="center" vertical="center"/>
    </xf>
    <xf numFmtId="0" fontId="7" fillId="7" borderId="0" applyNumberFormat="0" applyProtection="0">
      <alignment horizontal="right" vertical="center" indent="1"/>
    </xf>
    <xf numFmtId="0" fontId="7" fillId="8" borderId="0" applyNumberFormat="0" applyBorder="0" applyAlignment="0" applyProtection="0"/>
    <xf numFmtId="0" fontId="1" fillId="6"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9" borderId="0" applyNumberFormat="0" applyBorder="0" applyAlignment="0" applyProtection="0"/>
    <xf numFmtId="0" fontId="7" fillId="5" borderId="0" applyNumberFormat="0" applyBorder="0" applyAlignment="0" applyProtection="0"/>
    <xf numFmtId="0" fontId="1" fillId="0" borderId="0" applyNumberFormat="0" applyFill="0" applyBorder="0">
      <alignment horizontal="left" vertical="center" wrapText="1" indent="2"/>
    </xf>
    <xf numFmtId="1" fontId="1" fillId="0" borderId="0" applyFill="0" applyBorder="0" applyProtection="0">
      <alignment horizontal="center" vertical="center"/>
    </xf>
  </cellStyleXfs>
  <cellXfs count="47">
    <xf numFmtId="0" fontId="0" fillId="0" borderId="0" xfId="0">
      <alignment horizontal="left" wrapText="1" indent="1"/>
    </xf>
    <xf numFmtId="0" fontId="3" fillId="2" borderId="1" xfId="1" applyBorder="1" applyAlignment="1">
      <alignment horizontal="left" vertical="center" wrapText="1"/>
    </xf>
    <xf numFmtId="0" fontId="0" fillId="0" borderId="0" xfId="0" applyAlignment="1">
      <alignment horizontal="left" vertical="center" wrapText="1" indent="1"/>
    </xf>
    <xf numFmtId="0" fontId="10" fillId="0" borderId="0" xfId="7" applyFont="1" applyAlignment="1" applyProtection="1">
      <alignment horizontal="left" indent="1"/>
    </xf>
    <xf numFmtId="0" fontId="8" fillId="0" borderId="0" xfId="8">
      <alignment horizontal="left" vertical="center"/>
    </xf>
    <xf numFmtId="0" fontId="12" fillId="0" borderId="0" xfId="9" applyFont="1" applyFill="1" applyAlignment="1" applyProtection="1">
      <alignment horizontal="left" vertical="top"/>
    </xf>
    <xf numFmtId="0" fontId="9" fillId="0" borderId="3" xfId="7" applyBorder="1" applyAlignment="1" applyProtection="1">
      <alignment vertical="center"/>
    </xf>
    <xf numFmtId="0" fontId="8" fillId="0" borderId="3" xfId="8" applyBorder="1">
      <alignment horizontal="left" vertical="center"/>
    </xf>
    <xf numFmtId="0" fontId="7" fillId="0" borderId="0" xfId="10" applyFill="1" applyAlignment="1" applyProtection="1">
      <alignment horizontal="left" vertical="center" indent="1"/>
    </xf>
    <xf numFmtId="0" fontId="13" fillId="3" borderId="0" xfId="13" applyFont="1" applyAlignment="1" applyProtection="1">
      <alignment horizontal="center" vertical="center"/>
    </xf>
    <xf numFmtId="0" fontId="13" fillId="4" borderId="0" xfId="14" applyFont="1" applyAlignment="1" applyProtection="1">
      <alignment horizontal="center" vertical="center"/>
    </xf>
    <xf numFmtId="167" fontId="6" fillId="9" borderId="0" xfId="15" applyNumberFormat="1" applyFont="1" applyAlignment="1" applyProtection="1">
      <alignment horizontal="center" vertical="center"/>
    </xf>
    <xf numFmtId="167" fontId="6" fillId="10" borderId="0" xfId="16" applyNumberFormat="1" applyFont="1" applyFill="1" applyAlignment="1" applyProtection="1">
      <alignment horizontal="center" vertical="center"/>
    </xf>
    <xf numFmtId="0" fontId="8" fillId="0" borderId="4" xfId="8" applyBorder="1">
      <alignment horizontal="left" vertical="center"/>
    </xf>
    <xf numFmtId="0" fontId="11" fillId="0" borderId="0" xfId="9" applyFill="1" applyProtection="1">
      <alignment horizontal="center" vertical="center"/>
    </xf>
    <xf numFmtId="0" fontId="1" fillId="0" borderId="0" xfId="8" applyFont="1" applyAlignment="1">
      <alignment horizontal="center" vertical="center"/>
    </xf>
    <xf numFmtId="0" fontId="1" fillId="0" borderId="0" xfId="12" applyFill="1" applyBorder="1" applyAlignment="1" applyProtection="1">
      <alignment horizontal="left" vertical="center" indent="1"/>
    </xf>
    <xf numFmtId="0" fontId="8" fillId="0" borderId="0" xfId="8" applyAlignment="1">
      <alignment horizontal="center" vertical="center"/>
    </xf>
    <xf numFmtId="0" fontId="1" fillId="11" borderId="0" xfId="12" applyFill="1" applyBorder="1" applyAlignment="1" applyProtection="1">
      <alignment horizontal="center" vertical="center"/>
    </xf>
    <xf numFmtId="0" fontId="1" fillId="0" borderId="0" xfId="17" applyFill="1" applyBorder="1">
      <alignment horizontal="left" vertical="center" wrapText="1" indent="2"/>
    </xf>
    <xf numFmtId="1" fontId="1" fillId="0" borderId="0" xfId="18" applyFill="1" applyBorder="1" applyProtection="1">
      <alignment horizontal="center" vertical="center"/>
    </xf>
    <xf numFmtId="0" fontId="8" fillId="12" borderId="0" xfId="8" applyFill="1" applyAlignment="1">
      <alignment horizontal="left" vertical="center" indent="1"/>
    </xf>
    <xf numFmtId="167" fontId="8" fillId="12" borderId="0" xfId="8" applyNumberFormat="1" applyFill="1" applyAlignment="1">
      <alignment horizontal="center" vertical="center"/>
    </xf>
    <xf numFmtId="0" fontId="8" fillId="13" borderId="0" xfId="8" applyFill="1" applyAlignment="1">
      <alignment horizontal="center" vertical="center"/>
    </xf>
    <xf numFmtId="0" fontId="1" fillId="13" borderId="0" xfId="17" applyFill="1" applyBorder="1">
      <alignment horizontal="left" vertical="center" wrapText="1" indent="2"/>
    </xf>
    <xf numFmtId="1" fontId="1" fillId="13" borderId="0" xfId="18" applyFill="1" applyBorder="1" applyProtection="1">
      <alignment horizontal="center" vertical="center"/>
    </xf>
    <xf numFmtId="0" fontId="13" fillId="14" borderId="0" xfId="11" applyFont="1" applyFill="1" applyAlignment="1" applyProtection="1">
      <alignment horizontal="center" vertical="center"/>
    </xf>
    <xf numFmtId="0" fontId="14" fillId="0" borderId="0" xfId="9" applyFont="1" applyFill="1" applyProtection="1">
      <alignment horizontal="center" vertical="center"/>
    </xf>
    <xf numFmtId="0" fontId="0" fillId="0" borderId="2" xfId="0" applyBorder="1" applyAlignment="1">
      <alignment horizontal="left" vertical="center" wrapText="1" indent="1"/>
    </xf>
    <xf numFmtId="0" fontId="0" fillId="0" borderId="2" xfId="0" applyBorder="1" applyAlignment="1">
      <alignment horizontal="center" vertical="center" wrapText="1"/>
    </xf>
    <xf numFmtId="0" fontId="16" fillId="15" borderId="2" xfId="0" applyFont="1" applyFill="1" applyBorder="1" applyAlignment="1">
      <alignment horizontal="center" vertical="center" wrapText="1"/>
    </xf>
    <xf numFmtId="0" fontId="13" fillId="0" borderId="2" xfId="0" applyFont="1" applyBorder="1" applyAlignment="1">
      <alignment horizontal="center" vertical="center" wrapText="1"/>
    </xf>
    <xf numFmtId="14" fontId="0" fillId="0" borderId="2" xfId="0" applyNumberFormat="1" applyBorder="1" applyAlignment="1">
      <alignment horizontal="center" vertical="center" wrapText="1"/>
    </xf>
    <xf numFmtId="0" fontId="0" fillId="16" borderId="0" xfId="0" applyFill="1" applyAlignment="1">
      <alignment horizontal="center" wrapText="1"/>
    </xf>
    <xf numFmtId="0" fontId="3" fillId="2" borderId="0" xfId="1" applyBorder="1">
      <alignment horizontal="left" vertical="center"/>
    </xf>
    <xf numFmtId="0" fontId="3" fillId="2" borderId="5" xfId="1" applyBorder="1">
      <alignment horizontal="left" vertical="center"/>
    </xf>
    <xf numFmtId="0" fontId="8" fillId="12" borderId="0" xfId="0" applyFont="1" applyFill="1" applyAlignment="1">
      <alignment horizontal="left" vertical="center" indent="1"/>
    </xf>
    <xf numFmtId="167" fontId="8" fillId="12" borderId="0" xfId="0" applyNumberFormat="1" applyFont="1" applyFill="1" applyAlignment="1">
      <alignment horizontal="center" vertical="center"/>
    </xf>
    <xf numFmtId="0" fontId="5" fillId="14" borderId="0" xfId="8" applyFont="1" applyFill="1" applyAlignment="1">
      <alignment horizontal="center" vertical="center"/>
    </xf>
    <xf numFmtId="164" fontId="0" fillId="0" borderId="2" xfId="2" applyFont="1" applyBorder="1" applyAlignment="1">
      <alignment horizontal="left" vertical="center" wrapText="1" indent="1"/>
    </xf>
    <xf numFmtId="14" fontId="13" fillId="0" borderId="2"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0" fillId="16" borderId="0" xfId="0" applyFill="1" applyAlignment="1">
      <alignment horizontal="center" wrapText="1"/>
    </xf>
    <xf numFmtId="0" fontId="13" fillId="0" borderId="2" xfId="0" applyFont="1" applyBorder="1" applyAlignment="1">
      <alignment horizontal="center" vertical="center" wrapText="1"/>
    </xf>
    <xf numFmtId="0" fontId="1" fillId="0" borderId="0" xfId="12" applyFill="1" applyAlignment="1" applyProtection="1">
      <alignment horizontal="left" vertical="center" indent="1"/>
    </xf>
    <xf numFmtId="0" fontId="14" fillId="0" borderId="0" xfId="9" applyFont="1" applyFill="1" applyAlignment="1" applyProtection="1">
      <alignment horizontal="left" vertical="center"/>
    </xf>
  </cellXfs>
  <cellStyles count="19">
    <cellStyle name="20% - Accent3 2" xfId="12" xr:uid="{F4A21F7C-B6BA-4945-B880-5A38A1D49382}"/>
    <cellStyle name="40% - Accent2 2" xfId="13" xr:uid="{95AA0147-ECC2-4CE6-9AE6-1B7D0296263B}"/>
    <cellStyle name="40% - Accent4 2" xfId="15" xr:uid="{85DF23A4-A9E3-4607-AEE1-B508BB979AD7}"/>
    <cellStyle name="40% - Accent5 2" xfId="16" xr:uid="{A2CBD11E-F3CB-41C1-A5CB-BDADF9809905}"/>
    <cellStyle name="40% - Accent6 2" xfId="11" xr:uid="{B92E879B-4D95-47BF-873E-21DCC3BA95F6}"/>
    <cellStyle name="60% - Accent3 2" xfId="14" xr:uid="{F440911D-01B4-4B81-A7F9-CCFC14C7BB20}"/>
    <cellStyle name="Currency" xfId="6" builtinId="4" customBuiltin="1"/>
    <cellStyle name="Employee" xfId="17" xr:uid="{46438DA9-2B1F-4398-9086-95E873B0A7FA}"/>
    <cellStyle name="Followed Hyperlink" xfId="5" builtinId="9" customBuiltin="1"/>
    <cellStyle name="Heading 2 2" xfId="9" xr:uid="{F637AA0D-F445-493B-911F-E9D5FDB99734}"/>
    <cellStyle name="Heading 3 2" xfId="10" xr:uid="{3CD824BE-A5B6-4B29-9FFD-C464B6C47413}"/>
    <cellStyle name="Hyperlink" xfId="4" builtinId="8" customBuiltin="1"/>
    <cellStyle name="Normal" xfId="0" builtinId="0" customBuiltin="1"/>
    <cellStyle name="Normal 2" xfId="8" xr:uid="{666E3265-65E9-476C-A42D-DC5062D5F1B1}"/>
    <cellStyle name="Phone" xfId="2" xr:uid="{00000000-0005-0000-0000-000004000000}"/>
    <cellStyle name="Title" xfId="1" builtinId="15" customBuiltin="1"/>
    <cellStyle name="Title 2" xfId="7" xr:uid="{E788FA66-2B9C-4E2E-9730-8E161DF89541}"/>
    <cellStyle name="Total 2" xfId="18" xr:uid="{0BEA2311-D9D5-45F6-A477-862E3EF21A58}"/>
    <cellStyle name="Zip Code" xfId="3" xr:uid="{00000000-0005-0000-0000-000006000000}"/>
  </cellStyles>
  <dxfs count="183">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numFmt numFmtId="167" formatCode="0;0;"/>
      <fill>
        <patternFill patternType="solid">
          <fgColor indexed="64"/>
          <bgColor theme="8" tint="-0.499984740745262"/>
        </patternFill>
      </fill>
      <alignment horizontal="center" vertical="center" textRotation="0" wrapText="0" indent="0" justifyLastLine="0" shrinkToFit="0" readingOrder="0"/>
    </dxf>
    <dxf>
      <protection locked="1" hidden="0"/>
    </dxf>
    <dxf>
      <fill>
        <patternFill patternType="solid">
          <fgColor indexed="64"/>
          <bgColor theme="8" tint="-0.499984740745262"/>
        </patternFill>
      </fill>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fill>
        <patternFill patternType="solid">
          <fgColor rgb="FF000000"/>
          <bgColor rgb="FF425E40"/>
        </patternFill>
      </fill>
      <protection locked="1" hidden="0"/>
    </dxf>
    <dxf>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167" formatCode="0;0;"/>
      <fill>
        <patternFill patternType="solid">
          <fgColor indexed="64"/>
          <bgColor theme="8" tint="-0.499984740745262"/>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0"/>
        <name val="Arial"/>
        <family val="2"/>
        <scheme val="minor"/>
      </font>
      <numFmt numFmtId="0" formatCode="General"/>
      <fill>
        <patternFill patternType="solid">
          <fgColor indexed="64"/>
          <bgColor theme="8" tint="-0.499984740745262"/>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fill>
        <patternFill patternType="solid">
          <fgColor indexed="64"/>
          <bgColor theme="8" tint="-0.499984740745262"/>
        </patternFill>
      </fill>
      <protection locked="1" hidden="0"/>
    </dxf>
    <dxf>
      <protection locked="1" hidden="0"/>
    </dxf>
    <dxf>
      <protection locked="1"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color auto="1"/>
      </font>
      <fill>
        <patternFill patternType="solid">
          <fgColor theme="4"/>
          <bgColor theme="4" tint="0.39994506668294322"/>
        </patternFill>
      </fill>
      <border>
        <bottom style="medium">
          <color theme="1"/>
        </bottom>
      </border>
    </dxf>
    <dxf>
      <font>
        <color theme="1"/>
      </font>
      <border>
        <top style="medium">
          <color theme="1"/>
        </top>
        <bottom style="medium">
          <color theme="1"/>
        </bottom>
      </border>
    </dxf>
    <dxf>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color auto="1"/>
      </font>
      <fill>
        <patternFill>
          <fgColor theme="5" tint="0.39994506668294322"/>
          <bgColor theme="5" tint="0.39991454817346722"/>
        </patternFill>
      </fill>
      <border diagonalUp="0" diagonalDown="0">
        <left style="thin">
          <color theme="0"/>
        </left>
        <right style="thin">
          <color theme="0"/>
        </right>
        <top style="thin">
          <color theme="5" tint="0.59996337778862885"/>
        </top>
        <bottom style="thick">
          <color theme="5"/>
        </bottom>
        <vertical style="thick">
          <color theme="0"/>
        </vertical>
        <horizontal style="thin">
          <color theme="5" tint="0.59996337778862885"/>
        </horizontal>
      </border>
    </dxf>
    <dxf>
      <font>
        <color theme="0"/>
      </font>
      <fill>
        <patternFill>
          <fgColor theme="5" tint="-0.24994659260841701"/>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auto="1"/>
      </font>
      <border diagonalUp="0" diagonalDown="0">
        <left style="thin">
          <color theme="0"/>
        </left>
        <right/>
        <top style="thin">
          <color theme="0"/>
        </top>
        <bottom style="thin">
          <color theme="0"/>
        </bottom>
        <vertical style="thick">
          <color theme="0"/>
        </vertical>
        <horizontal style="thick">
          <color theme="0"/>
        </horizontal>
      </border>
    </dxf>
    <dxf>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color auto="1"/>
      </font>
      <fill>
        <patternFill>
          <fgColor theme="5" tint="0.39994506668294322"/>
          <bgColor theme="5" tint="0.39991454817346722"/>
        </patternFill>
      </fill>
      <border diagonalUp="0" diagonalDown="0">
        <left style="thin">
          <color theme="0"/>
        </left>
        <right style="thin">
          <color theme="0"/>
        </right>
        <top style="thin">
          <color theme="5" tint="0.59996337778862885"/>
        </top>
        <bottom style="thick">
          <color theme="5"/>
        </bottom>
        <vertical style="thick">
          <color theme="0"/>
        </vertical>
        <horizontal style="thin">
          <color theme="5" tint="0.59996337778862885"/>
        </horizontal>
      </border>
    </dxf>
    <dxf>
      <font>
        <color theme="0"/>
      </font>
      <fill>
        <patternFill>
          <fgColor theme="5" tint="-0.24994659260841701"/>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auto="1"/>
      </font>
      <border diagonalUp="0" diagonalDown="0">
        <left style="thin">
          <color theme="0"/>
        </left>
        <right/>
        <top style="thin">
          <color theme="0"/>
        </top>
        <bottom style="thin">
          <color theme="0"/>
        </bottom>
        <vertical style="thick">
          <color theme="0"/>
        </vertical>
        <horizontal style="thick">
          <color theme="0"/>
        </horizontal>
      </border>
    </dxf>
  </dxfs>
  <tableStyles count="3" defaultTableStyle="Membership List" defaultPivotStyle="PivotStyleLight16">
    <tableStyle name="Employee Absence Table" pivot="0" count="9" xr9:uid="{9F7C3B54-D813-4A3C-929D-F4C0554CC3C9}">
      <tableStyleElement type="wholeTable" dxfId="182"/>
      <tableStyleElement type="headerRow" dxfId="181"/>
      <tableStyleElement type="totalRow" dxfId="180"/>
      <tableStyleElement type="firstRowStripe" dxfId="179"/>
      <tableStyleElement type="secondRowStripe" dxfId="178"/>
      <tableStyleElement type="firstHeaderCell" dxfId="177"/>
      <tableStyleElement type="lastHeaderCell" dxfId="176"/>
      <tableStyleElement type="firstTotalCell" dxfId="175"/>
      <tableStyleElement type="lastTotalCell" dxfId="174"/>
    </tableStyle>
    <tableStyle name="Employee Absence Table 2" pivot="0" count="9" xr9:uid="{7BD781BD-E50D-4A5C-BC72-97A1E673E5DA}">
      <tableStyleElement type="wholeTable" dxfId="173"/>
      <tableStyleElement type="headerRow" dxfId="172"/>
      <tableStyleElement type="totalRow" dxfId="171"/>
      <tableStyleElement type="firstRowStripe" dxfId="170"/>
      <tableStyleElement type="secondRowStripe" dxfId="169"/>
      <tableStyleElement type="firstHeaderCell" dxfId="168"/>
      <tableStyleElement type="lastHeaderCell" dxfId="167"/>
      <tableStyleElement type="firstTotalCell" dxfId="166"/>
      <tableStyleElement type="lastTotalCell" dxfId="165"/>
    </tableStyle>
    <tableStyle name="Membership List" pivot="0" count="4" xr9:uid="{00000000-0011-0000-FFFF-FFFF00000000}">
      <tableStyleElement type="wholeTable" dxfId="164"/>
      <tableStyleElement type="headerRow" dxfId="163"/>
      <tableStyleElement type="firstRowStripe" dxfId="162"/>
      <tableStyleElement type="firstColumnStripe" dxfId="16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CDD2F3"/>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8F3E6"/>
      <rgbColor rgb="00CC99FF"/>
      <rgbColor rgb="00F4ECD8"/>
      <rgbColor rgb="003366FF"/>
      <rgbColor rgb="0033CCCC"/>
      <rgbColor rgb="0099CC00"/>
      <rgbColor rgb="00FFCC00"/>
      <rgbColor rgb="00FF9900"/>
      <rgbColor rgb="00FF6600"/>
      <rgbColor rgb="00666699"/>
      <rgbColor rgb="00969696"/>
      <rgbColor rgb="00A63522"/>
      <rgbColor rgb="00339966"/>
      <rgbColor rgb="00003300"/>
      <rgbColor rgb="00333300"/>
      <rgbColor rgb="00993300"/>
      <rgbColor rgb="00993366"/>
      <rgbColor rgb="00404A94"/>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190500</xdr:rowOff>
    </xdr:from>
    <xdr:to>
      <xdr:col>1</xdr:col>
      <xdr:colOff>2162175</xdr:colOff>
      <xdr:row>2</xdr:row>
      <xdr:rowOff>375953</xdr:rowOff>
    </xdr:to>
    <xdr:pic>
      <xdr:nvPicPr>
        <xdr:cNvPr id="3" name="Picture 2">
          <a:extLst>
            <a:ext uri="{FF2B5EF4-FFF2-40B4-BE49-F238E27FC236}">
              <a16:creationId xmlns:a16="http://schemas.microsoft.com/office/drawing/2014/main" id="{96D43938-1164-679E-AF23-6DC0BA86791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00" b="36000"/>
        <a:stretch>
          <a:fillRect/>
        </a:stretch>
      </xdr:blipFill>
      <xdr:spPr>
        <a:xfrm>
          <a:off x="0" y="190500"/>
          <a:ext cx="2533650" cy="7474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Employee%20absence%20schedul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 val="Employee names"/>
      <sheetName val="Employee absence schedule1"/>
    </sheetNames>
    <sheetDataSet>
      <sheetData sheetId="0">
        <row r="4">
          <cell r="C4" t="str">
            <v>V</v>
          </cell>
          <cell r="G4" t="str">
            <v>P</v>
          </cell>
          <cell r="K4" t="str">
            <v>S</v>
          </cell>
        </row>
        <row r="6">
          <cell r="AH6">
            <v>2026</v>
          </cell>
        </row>
      </sheetData>
      <sheetData sheetId="1"/>
      <sheetData sheetId="2"/>
      <sheetData sheetId="3"/>
      <sheetData sheetId="4" refreshError="1"/>
      <sheetData sheetId="5"/>
      <sheetData sheetId="6"/>
      <sheetData sheetId="7"/>
      <sheetData sheetId="8"/>
      <sheetData sheetId="9"/>
      <sheetData sheetId="10"/>
      <sheetData sheetId="11"/>
      <sheetData sheetId="12"/>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 displayName="List" ref="B5:L28" totalsRowShown="0" headerRowDxfId="160" headerRowBorderDxfId="159" headerRowCellStyle="Normal" dataCellStyle="Normal">
  <autoFilter ref="B5:L28" xr:uid="{00000000-000C-0000-FFFF-FFFF00000000}"/>
  <sortState xmlns:xlrd2="http://schemas.microsoft.com/office/spreadsheetml/2017/richdata2" ref="B6:L28">
    <sortCondition ref="D5:D28"/>
  </sortState>
  <tableColumns count="11">
    <tableColumn id="1" xr3:uid="{00000000-0010-0000-0000-000001000000}" name="Project Name" dataDxfId="158" dataCellStyle="Normal"/>
    <tableColumn id="2" xr3:uid="{00000000-0010-0000-0000-000002000000}" name="Position Plant" dataDxfId="157" dataCellStyle="Normal"/>
    <tableColumn id="3" xr3:uid="{00000000-0010-0000-0000-000003000000}" name="Start Date" dataDxfId="156" dataCellStyle="Normal"/>
    <tableColumn id="4" xr3:uid="{00000000-0010-0000-0000-000004000000}" name="PIC (Depart)" dataDxfId="155" dataCellStyle="Normal"/>
    <tableColumn id="5" xr3:uid="{00000000-0010-0000-0000-000005000000}" name="Vendor/Pelaksana" dataDxfId="154" dataCellStyle="Normal"/>
    <tableColumn id="6" xr3:uid="{00000000-0010-0000-0000-000006000000}" name="Phone" dataDxfId="153" dataCellStyle="Phone"/>
    <tableColumn id="7" xr3:uid="{00000000-0010-0000-0000-000007000000}" name="Street Address" dataDxfId="152" dataCellStyle="Normal"/>
    <tableColumn id="8" xr3:uid="{E3E166E8-F24C-49A0-8017-11D56E7B94F4}" name="WO/SPR" dataDxfId="151"/>
    <tableColumn id="9" xr3:uid="{804EC81A-E38C-4B98-8B62-DC51B41C2355}" name="Completed Date" dataDxfId="150"/>
    <tableColumn id="11" xr3:uid="{00000000-0010-0000-0000-00000B000000}" name="Status Pekerjaan" dataDxfId="149" dataCellStyle="Normal"/>
    <tableColumn id="13" xr3:uid="{00000000-0010-0000-0000-00000D000000}" name="Remark" dataDxfId="148" dataCellStyle="Normal"/>
  </tableColumns>
  <tableStyleInfo name="Membership List" showFirstColumn="0" showLastColumn="0" showRowStripes="1" showColumnStripes="0"/>
  <extLst>
    <ext xmlns:x14="http://schemas.microsoft.com/office/spreadsheetml/2009/9/main" uri="{504A1905-F514-4f6f-8877-14C23A59335A}">
      <x14:table altTextSummary="Table with Member Name, Position, Dues Paid, Membership Year, Volunteer Interests, Phone and Fax numbers, Street Address, City, State, ZIP Code, Email, 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74E34-E4F2-45C9-B566-2848502F6AF0}" name="March5" displayName="March5" ref="B8:AH22" totalsRowCount="1" headerRowDxfId="147" dataDxfId="146" totalsRowDxfId="145">
  <tableColumns count="33">
    <tableColumn id="1" xr3:uid="{DB4832B6-2F40-44DB-99AA-12CF6DB335CB}" name="Due Date" totalsRowFunction="custom" dataDxfId="144" totalsRowDxfId="143" dataCellStyle="Employee">
      <totalsRowFormula>MonthName&amp;" Total"</totalsRowFormula>
    </tableColumn>
    <tableColumn id="2" xr3:uid="{18830C82-1197-407A-9870-C1634C3F4FA4}" name="1" totalsRowFunction="count" dataDxfId="142" totalsRowDxfId="141"/>
    <tableColumn id="3" xr3:uid="{EA3000F3-D3C5-47A7-9335-D2BC9FD1F0C8}" name="2" totalsRowFunction="count" dataDxfId="140" totalsRowDxfId="139"/>
    <tableColumn id="4" xr3:uid="{485ECB5A-2F90-469E-A1B6-9E1F2FFB94B0}" name="3" totalsRowFunction="count" dataDxfId="138" totalsRowDxfId="137"/>
    <tableColumn id="5" xr3:uid="{98AD465E-1417-4E71-B860-0E5AC7347F43}" name="4" totalsRowFunction="count" dataDxfId="136" totalsRowDxfId="135"/>
    <tableColumn id="6" xr3:uid="{D8DC1EB1-4884-425E-ADB2-4C2510568B2F}" name="5" totalsRowFunction="count" dataDxfId="134" totalsRowDxfId="133"/>
    <tableColumn id="7" xr3:uid="{94792881-1A1D-4A5F-A014-4B46151118F9}" name="6" totalsRowFunction="count" dataDxfId="132" totalsRowDxfId="131"/>
    <tableColumn id="8" xr3:uid="{D558E8B9-5E6C-488F-9D52-0BEE024642CC}" name="7" totalsRowFunction="count" dataDxfId="130" totalsRowDxfId="129"/>
    <tableColumn id="9" xr3:uid="{5684AE3E-089F-4CC7-8595-3555950DAC67}" name="8" totalsRowFunction="count" dataDxfId="128" totalsRowDxfId="127"/>
    <tableColumn id="10" xr3:uid="{3CF40874-901B-4BCD-940A-C3990FEEF398}" name="9" totalsRowFunction="count" dataDxfId="126" totalsRowDxfId="125"/>
    <tableColumn id="11" xr3:uid="{9E0C6E4C-90C2-4CB3-9366-83A46B014D31}" name="10" totalsRowFunction="count" dataDxfId="124" totalsRowDxfId="123"/>
    <tableColumn id="12" xr3:uid="{C0D8E4D0-58EE-402D-B249-E8BC2E344E0C}" name="11" totalsRowFunction="count" dataDxfId="122" totalsRowDxfId="121"/>
    <tableColumn id="13" xr3:uid="{BC959053-BCAA-4ED4-97F1-19D33D984718}" name="12" totalsRowFunction="count" dataDxfId="120" totalsRowDxfId="119"/>
    <tableColumn id="14" xr3:uid="{7895E14B-BF6B-4780-A21D-127AA672C85C}" name="13" totalsRowFunction="count" dataDxfId="118" totalsRowDxfId="117"/>
    <tableColumn id="15" xr3:uid="{3FE01382-2750-494B-BA09-277F2604DE66}" name="14" totalsRowFunction="count" dataDxfId="116" totalsRowDxfId="115"/>
    <tableColumn id="16" xr3:uid="{2ED654CB-F240-4090-9EB8-301734678DE8}" name="15" totalsRowFunction="count" dataDxfId="114" totalsRowDxfId="113"/>
    <tableColumn id="17" xr3:uid="{EE374EC4-3F6C-4720-92EF-25F4C5ED92E2}" name="16" totalsRowFunction="count" dataDxfId="112" totalsRowDxfId="111"/>
    <tableColumn id="18" xr3:uid="{2B3B7960-2179-4E17-8378-84C728E2FACB}" name="17" totalsRowFunction="count" dataDxfId="110" totalsRowDxfId="109"/>
    <tableColumn id="19" xr3:uid="{9BC2046B-5C9B-435B-95C9-419A22941BFD}" name="18" totalsRowFunction="count" dataDxfId="108" totalsRowDxfId="107"/>
    <tableColumn id="20" xr3:uid="{65547615-E8C1-4CE0-96F8-A8CA6072F401}" name="19" totalsRowFunction="count" dataDxfId="106" totalsRowDxfId="105"/>
    <tableColumn id="21" xr3:uid="{BFEE85B3-2289-42B4-8B8A-8BB139BD5CED}" name="20" totalsRowFunction="count" dataDxfId="104" totalsRowDxfId="103"/>
    <tableColumn id="22" xr3:uid="{E7AD314B-7C2B-4384-9522-94B1E3146096}" name="21" totalsRowFunction="count" dataDxfId="102" totalsRowDxfId="101"/>
    <tableColumn id="23" xr3:uid="{B5566071-616D-4DA1-B9DC-C5539AB87587}" name="22" totalsRowFunction="count" dataDxfId="100" totalsRowDxfId="99"/>
    <tableColumn id="24" xr3:uid="{135A321E-528E-43A8-97F9-6BAFCF3983E0}" name="23" totalsRowFunction="count" dataDxfId="98" totalsRowDxfId="97"/>
    <tableColumn id="25" xr3:uid="{91CB5654-8B4E-4A50-8532-AD2758695119}" name="24" totalsRowFunction="count" dataDxfId="96" totalsRowDxfId="95"/>
    <tableColumn id="26" xr3:uid="{39E0F8DA-78AC-4E10-B5F4-4181E253209D}" name="25" totalsRowFunction="count" dataDxfId="94" totalsRowDxfId="93"/>
    <tableColumn id="27" xr3:uid="{47F3A3A3-EE16-4D86-BE27-DF63ED752238}" name="26" totalsRowFunction="count" dataDxfId="92" totalsRowDxfId="91"/>
    <tableColumn id="28" xr3:uid="{52B368EA-177D-41DD-A8EA-B12F6525BF5D}" name="27" totalsRowFunction="count" dataDxfId="90" totalsRowDxfId="89"/>
    <tableColumn id="29" xr3:uid="{9BE34EFB-FD9B-4116-BB6D-B936D713A17B}" name="28" totalsRowFunction="count" dataDxfId="88" totalsRowDxfId="87"/>
    <tableColumn id="30" xr3:uid="{C927360D-8B45-4133-9CAA-0120CC276F98}" name="29" totalsRowFunction="count" dataDxfId="86" totalsRowDxfId="85"/>
    <tableColumn id="31" xr3:uid="{B3A3038B-4ED4-4267-A80D-F3FFCB147CE6}" name="30" totalsRowFunction="sum" dataDxfId="84" totalsRowDxfId="83"/>
    <tableColumn id="32" xr3:uid="{FF21EF8E-7A35-406A-A9B7-95BB49DB35CD}" name=" " totalsRowFunction="sum" dataDxfId="82" totalsRowDxfId="81"/>
    <tableColumn id="33" xr3:uid="{2D49B0F8-E124-4456-9167-A50FF31564A4}" name="Total days" totalsRowFunction="sum" dataDxfId="80" totalsRowDxfId="79">
      <calculatedColumnFormula>COUNTA(March5[[#This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2FF1F0-04EB-4FD3-BC21-78CECB1E1869}" name="March55" displayName="March55" ref="B8:AH14" totalsRowCount="1" headerRowDxfId="78" dataDxfId="77" totalsRowDxfId="76">
  <tableColumns count="33">
    <tableColumn id="1" xr3:uid="{E4044D62-5F59-4A3C-B24D-9D71DE2F4D39}" name="Due Date" totalsRowFunction="custom" dataDxfId="75" totalsRowDxfId="74" dataCellStyle="Employee" totalsRowCellStyle="Normal 2">
      <totalsRowFormula>MonthName&amp;" Total"</totalsRowFormula>
    </tableColumn>
    <tableColumn id="2" xr3:uid="{C90ADF15-9DA5-48FE-9180-D8E9433025AD}" name="1" totalsRowFunction="count" dataDxfId="73" totalsRowDxfId="72" totalsRowCellStyle="Normal 2"/>
    <tableColumn id="3" xr3:uid="{34DD3D27-DF46-45E3-BADA-D7A95A96D503}" name="2" totalsRowFunction="count" dataDxfId="71" totalsRowDxfId="70" totalsRowCellStyle="Normal 2"/>
    <tableColumn id="4" xr3:uid="{535CF136-08DF-402B-8F46-61EAC3FC5144}" name="3" totalsRowFunction="count" dataDxfId="69" totalsRowDxfId="68" totalsRowCellStyle="Normal 2"/>
    <tableColumn id="5" xr3:uid="{288E35C3-85C2-4442-8262-6142975E8B08}" name="4" totalsRowFunction="count" dataDxfId="67" totalsRowDxfId="66" totalsRowCellStyle="Normal 2"/>
    <tableColumn id="6" xr3:uid="{9C89320F-F2D5-4292-BDCB-EE22FB514FE7}" name="5" totalsRowFunction="count" dataDxfId="65" totalsRowDxfId="64" totalsRowCellStyle="Normal 2"/>
    <tableColumn id="7" xr3:uid="{02AC748C-99F7-4508-B070-72EF6441B8E9}" name="6" totalsRowFunction="count" dataDxfId="63" totalsRowDxfId="62" totalsRowCellStyle="Normal 2"/>
    <tableColumn id="8" xr3:uid="{34A5F9FC-CB08-475C-B5AC-A39059CD7820}" name="7" totalsRowFunction="count" dataDxfId="61" totalsRowDxfId="60" totalsRowCellStyle="Normal 2"/>
    <tableColumn id="9" xr3:uid="{7FAC0E2F-E6C4-4A05-A9DD-CEA87F82B401}" name="8" totalsRowFunction="count" dataDxfId="59" totalsRowDxfId="58" totalsRowCellStyle="Normal 2"/>
    <tableColumn id="10" xr3:uid="{F0BEE0D4-2511-46F1-9E81-124177F69E3D}" name="9" totalsRowFunction="count" dataDxfId="57" totalsRowDxfId="56" totalsRowCellStyle="Normal 2"/>
    <tableColumn id="11" xr3:uid="{E2EC4615-D603-4974-B01B-D6223B7BAE08}" name="10" totalsRowFunction="count" dataDxfId="55" totalsRowDxfId="54" totalsRowCellStyle="Normal 2"/>
    <tableColumn id="12" xr3:uid="{45E3764B-2DA8-4C71-A554-D1B318887A63}" name="11" totalsRowFunction="count" dataDxfId="53" totalsRowDxfId="52" totalsRowCellStyle="Normal 2"/>
    <tableColumn id="13" xr3:uid="{B86B5E18-BFE2-4EC2-A8E6-D3BAE72B4CEE}" name="12" totalsRowFunction="count" dataDxfId="51" totalsRowDxfId="50" totalsRowCellStyle="Normal 2"/>
    <tableColumn id="14" xr3:uid="{612DF1BD-EBA1-4E6D-B58E-4B28120D5549}" name="13" totalsRowFunction="count" dataDxfId="49" totalsRowDxfId="48" totalsRowCellStyle="Normal 2"/>
    <tableColumn id="15" xr3:uid="{31ED9FF9-2307-4E53-B6CD-C275FC020677}" name="14" totalsRowFunction="count" dataDxfId="47" totalsRowDxfId="46" totalsRowCellStyle="Normal 2"/>
    <tableColumn id="16" xr3:uid="{AE1CD0BE-3C96-4DD9-888F-FD41A0EA0F8E}" name="15" totalsRowFunction="count" dataDxfId="45" totalsRowDxfId="44" totalsRowCellStyle="Normal 2"/>
    <tableColumn id="17" xr3:uid="{25D99EB1-AD61-49C7-BC5E-AA42F64F1AB5}" name="16" totalsRowFunction="count" dataDxfId="43" totalsRowDxfId="42" totalsRowCellStyle="Normal 2"/>
    <tableColumn id="18" xr3:uid="{058C417E-879B-45AD-88F1-53908A9BB2D0}" name="17" totalsRowFunction="count" dataDxfId="41" totalsRowDxfId="40" totalsRowCellStyle="Normal 2"/>
    <tableColumn id="19" xr3:uid="{6D5EEBD2-2989-48EA-9B41-F7838092C7E4}" name="18" totalsRowFunction="count" dataDxfId="39" totalsRowDxfId="38" totalsRowCellStyle="Normal 2"/>
    <tableColumn id="20" xr3:uid="{7629E359-66D2-4BA2-8EB3-9978AD294FEC}" name="19" totalsRowFunction="count" dataDxfId="37" totalsRowDxfId="36" totalsRowCellStyle="Normal 2"/>
    <tableColumn id="21" xr3:uid="{E25C3F2E-52A3-49A9-A22C-990ADD47988B}" name="20" totalsRowFunction="count" dataDxfId="35" totalsRowDxfId="34" totalsRowCellStyle="Normal 2"/>
    <tableColumn id="22" xr3:uid="{CB8F798F-85EB-4BA0-A4F5-BA7099FBACE6}" name="21" totalsRowFunction="count" dataDxfId="33" totalsRowDxfId="32" totalsRowCellStyle="Normal 2"/>
    <tableColumn id="23" xr3:uid="{B39DB3DE-E8B3-4E24-AB1A-2B9987EF83C0}" name="22" totalsRowFunction="count" dataDxfId="31" totalsRowDxfId="30" totalsRowCellStyle="Normal 2"/>
    <tableColumn id="24" xr3:uid="{B5437E77-1164-4FBA-8A96-6D41B2B924E2}" name="23" totalsRowFunction="count" dataDxfId="29" totalsRowDxfId="28" totalsRowCellStyle="Normal 2"/>
    <tableColumn id="25" xr3:uid="{EB2F2B02-9C2E-45C0-826E-27A9DAFB03AA}" name="24" totalsRowFunction="count" dataDxfId="27" totalsRowDxfId="26" totalsRowCellStyle="Normal 2"/>
    <tableColumn id="26" xr3:uid="{0ADDB207-9E43-41A7-94B7-432318FA91E6}" name="25" totalsRowFunction="count" dataDxfId="25" totalsRowDxfId="24" totalsRowCellStyle="Normal 2"/>
    <tableColumn id="27" xr3:uid="{AD5032DD-CDDA-4C9D-8EF4-E3315873F73C}" name="26" totalsRowFunction="count" dataDxfId="23" totalsRowDxfId="22" totalsRowCellStyle="Normal 2"/>
    <tableColumn id="28" xr3:uid="{F4AE7709-0CAF-4A95-8BED-4401BF8C219E}" name="27" totalsRowFunction="count" dataDxfId="21" totalsRowDxfId="20" totalsRowCellStyle="Normal 2"/>
    <tableColumn id="29" xr3:uid="{8A9F798F-152E-4D8B-8B1A-E16724329F2E}" name="28" totalsRowFunction="count" dataDxfId="19" totalsRowDxfId="18" totalsRowCellStyle="Normal 2"/>
    <tableColumn id="30" xr3:uid="{3890F0F3-3C0F-4C1F-9E6A-70C95631B468}" name="29" totalsRowFunction="count" dataDxfId="17" totalsRowDxfId="16" totalsRowCellStyle="Normal 2"/>
    <tableColumn id="31" xr3:uid="{8F6C3DF1-6F9A-48CC-8E45-C4C22E3C8226}" name="30" totalsRowFunction="sum" dataDxfId="15" totalsRowDxfId="14" totalsRowCellStyle="Normal 2"/>
    <tableColumn id="32" xr3:uid="{50134EC4-3C78-4828-B1A0-27124B5DD4C7}" name=" " totalsRowFunction="sum" dataDxfId="13" totalsRowDxfId="12" totalsRowCellStyle="Normal 2"/>
    <tableColumn id="33" xr3:uid="{4F156C99-D4B9-439C-8E0B-2BCC73AF32D4}" name="Total days" totalsRowFunction="sum" dataDxfId="11" totalsRowDxfId="10" totalsRowCellStyle="Normal 2">
      <calculatedColumnFormula>COUNTA(March55[[#This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heme/theme1.xml><?xml version="1.0" encoding="utf-8"?>
<a:theme xmlns:a="http://schemas.openxmlformats.org/drawingml/2006/main" name="Office Theme">
  <a:themeElements>
    <a:clrScheme name="Civic">
      <a:dk1>
        <a:sysClr val="windowText" lastClr="000000"/>
      </a:dk1>
      <a:lt1>
        <a:sysClr val="window" lastClr="FFFFFF"/>
      </a:lt1>
      <a:dk2>
        <a:srgbClr val="646B86"/>
      </a:dk2>
      <a:lt2>
        <a:srgbClr val="C5D1D7"/>
      </a:lt2>
      <a:accent1>
        <a:srgbClr val="D16349"/>
      </a:accent1>
      <a:accent2>
        <a:srgbClr val="CCB400"/>
      </a:accent2>
      <a:accent3>
        <a:srgbClr val="8CADAE"/>
      </a:accent3>
      <a:accent4>
        <a:srgbClr val="8C7B70"/>
      </a:accent4>
      <a:accent5>
        <a:srgbClr val="8FB08C"/>
      </a:accent5>
      <a:accent6>
        <a:srgbClr val="D19049"/>
      </a:accent6>
      <a:hlink>
        <a:srgbClr val="00A3D6"/>
      </a:hlink>
      <a:folHlink>
        <a:srgbClr val="694F07"/>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fitToPage="1"/>
  </sheetPr>
  <dimension ref="A1:L28"/>
  <sheetViews>
    <sheetView showGridLines="0" tabSelected="1" zoomScaleNormal="100" workbookViewId="0">
      <pane xSplit="2" ySplit="5" topLeftCell="C6" activePane="bottomRight" state="frozenSplit"/>
      <selection pane="topRight" activeCell="B1" sqref="B1"/>
      <selection pane="bottomLeft" activeCell="A3" sqref="A3"/>
      <selection pane="bottomRight" activeCell="J6" sqref="J6"/>
    </sheetView>
  </sheetViews>
  <sheetFormatPr defaultRowHeight="30" customHeight="1" x14ac:dyDescent="0.3"/>
  <cols>
    <col min="1" max="1" width="4.83203125" customWidth="1"/>
    <col min="2" max="2" width="29.83203125" customWidth="1"/>
    <col min="3" max="3" width="21.25" customWidth="1"/>
    <col min="4" max="4" width="19.33203125" customWidth="1"/>
    <col min="5" max="5" width="15.58203125" customWidth="1"/>
    <col min="6" max="6" width="23.08203125" customWidth="1"/>
    <col min="7" max="7" width="29" customWidth="1"/>
    <col min="8" max="8" width="53.5" customWidth="1"/>
    <col min="9" max="9" width="35.5" customWidth="1"/>
    <col min="10" max="10" width="21.75" customWidth="1"/>
    <col min="11" max="11" width="25" customWidth="1"/>
    <col min="12" max="12" width="56" customWidth="1"/>
  </cols>
  <sheetData>
    <row r="1" spans="1:12" ht="30" customHeight="1" x14ac:dyDescent="0.3">
      <c r="B1" s="2"/>
      <c r="C1" s="41" t="s">
        <v>53</v>
      </c>
      <c r="D1" s="42"/>
      <c r="E1" s="42"/>
      <c r="F1" s="42"/>
      <c r="G1" s="42"/>
      <c r="H1" s="42"/>
      <c r="I1" s="42"/>
      <c r="J1" s="42"/>
      <c r="K1" s="42"/>
      <c r="L1" s="42"/>
    </row>
    <row r="2" spans="1:12" ht="14.25" customHeight="1" x14ac:dyDescent="0.3">
      <c r="B2" s="2"/>
      <c r="C2" s="42"/>
      <c r="D2" s="42"/>
      <c r="E2" s="42"/>
      <c r="F2" s="42"/>
      <c r="G2" s="42"/>
      <c r="H2" s="42"/>
      <c r="I2" s="42"/>
      <c r="J2" s="42"/>
      <c r="K2" s="42"/>
      <c r="L2" s="42"/>
    </row>
    <row r="3" spans="1:12" ht="36" customHeight="1" x14ac:dyDescent="0.3">
      <c r="B3" s="2"/>
      <c r="C3" s="44" t="s">
        <v>65</v>
      </c>
      <c r="D3" s="42"/>
      <c r="E3" s="42"/>
      <c r="F3" s="42"/>
      <c r="G3" s="42"/>
      <c r="H3" s="42"/>
      <c r="I3" s="42"/>
      <c r="J3" s="42"/>
      <c r="K3" s="42"/>
      <c r="L3" s="42"/>
    </row>
    <row r="4" spans="1:12" ht="56.25" customHeight="1" x14ac:dyDescent="0.3">
      <c r="A4" s="43"/>
      <c r="B4" s="1" t="s">
        <v>2</v>
      </c>
      <c r="C4" s="34"/>
      <c r="D4" s="34"/>
      <c r="E4" s="34"/>
      <c r="F4" s="34"/>
      <c r="G4" s="34"/>
      <c r="H4" s="34"/>
      <c r="I4" s="34"/>
      <c r="J4" s="34"/>
      <c r="K4" s="34"/>
      <c r="L4" s="35"/>
    </row>
    <row r="5" spans="1:12" ht="30" customHeight="1" x14ac:dyDescent="0.3">
      <c r="A5" s="43"/>
      <c r="B5" s="31" t="s">
        <v>3</v>
      </c>
      <c r="C5" s="28" t="s">
        <v>4</v>
      </c>
      <c r="D5" s="29" t="s">
        <v>103</v>
      </c>
      <c r="E5" s="28" t="s">
        <v>6</v>
      </c>
      <c r="F5" s="28" t="s">
        <v>7</v>
      </c>
      <c r="G5" s="28" t="s">
        <v>1</v>
      </c>
      <c r="H5" s="29" t="s">
        <v>0</v>
      </c>
      <c r="I5" s="29" t="s">
        <v>96</v>
      </c>
      <c r="J5" s="29" t="s">
        <v>118</v>
      </c>
      <c r="K5" s="28" t="s">
        <v>71</v>
      </c>
      <c r="L5" s="28" t="s">
        <v>9</v>
      </c>
    </row>
    <row r="6" spans="1:12" ht="30" customHeight="1" x14ac:dyDescent="0.3">
      <c r="A6" s="33"/>
      <c r="B6" s="31" t="s">
        <v>88</v>
      </c>
      <c r="C6" s="29" t="s">
        <v>80</v>
      </c>
      <c r="D6" s="32">
        <v>45713</v>
      </c>
      <c r="E6" s="29" t="s">
        <v>94</v>
      </c>
      <c r="F6" s="29" t="s">
        <v>101</v>
      </c>
      <c r="G6" s="39"/>
      <c r="H6" s="29" t="s">
        <v>63</v>
      </c>
      <c r="I6" s="31" t="s">
        <v>73</v>
      </c>
      <c r="J6" s="32"/>
      <c r="K6" s="30" t="s">
        <v>56</v>
      </c>
      <c r="L6" s="29"/>
    </row>
    <row r="7" spans="1:12" ht="30" customHeight="1" x14ac:dyDescent="0.3">
      <c r="A7" s="33"/>
      <c r="B7" s="31" t="s">
        <v>114</v>
      </c>
      <c r="C7" s="29" t="s">
        <v>113</v>
      </c>
      <c r="D7" s="32">
        <v>45868</v>
      </c>
      <c r="E7" s="29" t="s">
        <v>94</v>
      </c>
      <c r="F7" s="29" t="s">
        <v>101</v>
      </c>
      <c r="G7" s="39"/>
      <c r="H7" s="29" t="s">
        <v>104</v>
      </c>
      <c r="I7" s="31" t="s">
        <v>73</v>
      </c>
      <c r="J7" s="32"/>
      <c r="K7" s="30" t="s">
        <v>56</v>
      </c>
      <c r="L7" s="29"/>
    </row>
    <row r="8" spans="1:12" ht="30" customHeight="1" x14ac:dyDescent="0.3">
      <c r="A8" s="33"/>
      <c r="B8" s="31" t="s">
        <v>116</v>
      </c>
      <c r="C8" s="29" t="s">
        <v>117</v>
      </c>
      <c r="D8" s="32">
        <v>46085</v>
      </c>
      <c r="E8" s="29" t="s">
        <v>94</v>
      </c>
      <c r="F8" s="29" t="s">
        <v>101</v>
      </c>
      <c r="G8" s="39"/>
      <c r="H8" s="29" t="s">
        <v>63</v>
      </c>
      <c r="I8" s="31" t="s">
        <v>73</v>
      </c>
      <c r="J8" s="40"/>
      <c r="K8" s="30" t="s">
        <v>56</v>
      </c>
      <c r="L8" s="29"/>
    </row>
    <row r="9" spans="1:12" ht="30" customHeight="1" x14ac:dyDescent="0.3">
      <c r="A9" s="33"/>
      <c r="B9" s="31" t="s">
        <v>87</v>
      </c>
      <c r="C9" s="29" t="s">
        <v>89</v>
      </c>
      <c r="D9" s="32">
        <v>46105</v>
      </c>
      <c r="E9" s="29" t="s">
        <v>94</v>
      </c>
      <c r="F9" s="29" t="s">
        <v>101</v>
      </c>
      <c r="G9" s="39"/>
      <c r="H9" s="29" t="s">
        <v>63</v>
      </c>
      <c r="I9" s="31" t="s">
        <v>73</v>
      </c>
      <c r="J9" s="32"/>
      <c r="K9" s="30" t="s">
        <v>56</v>
      </c>
      <c r="L9" s="29"/>
    </row>
    <row r="10" spans="1:12" ht="30" customHeight="1" x14ac:dyDescent="0.3">
      <c r="A10" s="33"/>
      <c r="B10" s="31" t="s">
        <v>93</v>
      </c>
      <c r="C10" s="29" t="s">
        <v>80</v>
      </c>
      <c r="D10" s="32">
        <v>46111</v>
      </c>
      <c r="E10" s="29" t="s">
        <v>94</v>
      </c>
      <c r="F10" s="29" t="s">
        <v>97</v>
      </c>
      <c r="G10" s="39"/>
      <c r="H10" s="29" t="s">
        <v>63</v>
      </c>
      <c r="I10" s="31" t="s">
        <v>73</v>
      </c>
      <c r="J10" s="32">
        <v>46135</v>
      </c>
      <c r="K10" s="30" t="s">
        <v>55</v>
      </c>
      <c r="L10" s="29" t="s">
        <v>99</v>
      </c>
    </row>
    <row r="11" spans="1:12" ht="30" customHeight="1" x14ac:dyDescent="0.3">
      <c r="A11" s="33"/>
      <c r="B11" s="31" t="s">
        <v>92</v>
      </c>
      <c r="C11" s="29" t="s">
        <v>80</v>
      </c>
      <c r="D11" s="32">
        <v>46114</v>
      </c>
      <c r="E11" s="29" t="s">
        <v>94</v>
      </c>
      <c r="F11" s="29" t="s">
        <v>102</v>
      </c>
      <c r="G11" s="39"/>
      <c r="H11" s="29" t="s">
        <v>63</v>
      </c>
      <c r="I11" s="31" t="s">
        <v>73</v>
      </c>
      <c r="J11" s="32">
        <v>46127</v>
      </c>
      <c r="K11" s="30" t="s">
        <v>55</v>
      </c>
      <c r="L11" s="29" t="s">
        <v>100</v>
      </c>
    </row>
    <row r="12" spans="1:12" ht="30" customHeight="1" x14ac:dyDescent="0.3">
      <c r="A12" s="33"/>
      <c r="B12" s="31" t="s">
        <v>115</v>
      </c>
      <c r="C12" s="29" t="s">
        <v>78</v>
      </c>
      <c r="D12" s="32">
        <v>46122</v>
      </c>
      <c r="E12" s="29" t="s">
        <v>94</v>
      </c>
      <c r="F12" s="29" t="s">
        <v>101</v>
      </c>
      <c r="G12" s="39"/>
      <c r="H12" s="29" t="s">
        <v>63</v>
      </c>
      <c r="I12" s="31" t="s">
        <v>73</v>
      </c>
      <c r="J12" s="31"/>
      <c r="K12" s="30" t="s">
        <v>56</v>
      </c>
      <c r="L12" s="29"/>
    </row>
    <row r="13" spans="1:12" ht="30" customHeight="1" x14ac:dyDescent="0.3">
      <c r="A13" s="33"/>
      <c r="B13" s="31" t="s">
        <v>110</v>
      </c>
      <c r="C13" s="29" t="s">
        <v>111</v>
      </c>
      <c r="D13" s="32">
        <v>46122</v>
      </c>
      <c r="E13" s="29" t="s">
        <v>112</v>
      </c>
      <c r="F13" s="29" t="s">
        <v>101</v>
      </c>
      <c r="G13" s="39"/>
      <c r="H13" s="29" t="s">
        <v>63</v>
      </c>
      <c r="I13" s="31" t="s">
        <v>73</v>
      </c>
      <c r="J13" s="40"/>
      <c r="K13" s="30" t="s">
        <v>56</v>
      </c>
      <c r="L13" s="29"/>
    </row>
    <row r="14" spans="1:12" ht="30" customHeight="1" x14ac:dyDescent="0.3">
      <c r="A14" s="33"/>
      <c r="B14" s="31" t="s">
        <v>90</v>
      </c>
      <c r="C14" s="29" t="s">
        <v>91</v>
      </c>
      <c r="D14" s="32">
        <v>46127</v>
      </c>
      <c r="E14" s="29" t="s">
        <v>95</v>
      </c>
      <c r="F14" s="29" t="s">
        <v>61</v>
      </c>
      <c r="G14" s="29" t="s">
        <v>62</v>
      </c>
      <c r="H14" s="29" t="s">
        <v>63</v>
      </c>
      <c r="I14" s="31" t="s">
        <v>73</v>
      </c>
      <c r="J14" s="32"/>
      <c r="K14" s="30" t="s">
        <v>56</v>
      </c>
      <c r="L14" s="29" t="s">
        <v>98</v>
      </c>
    </row>
    <row r="15" spans="1:12" ht="30" customHeight="1" x14ac:dyDescent="0.3">
      <c r="A15" s="29">
        <v>1</v>
      </c>
      <c r="B15" s="31" t="s">
        <v>58</v>
      </c>
      <c r="C15" s="29" t="s">
        <v>59</v>
      </c>
      <c r="D15" s="32">
        <v>46130</v>
      </c>
      <c r="E15" s="29" t="s">
        <v>60</v>
      </c>
      <c r="F15" s="29" t="s">
        <v>61</v>
      </c>
      <c r="G15" s="29" t="s">
        <v>62</v>
      </c>
      <c r="H15" s="29" t="s">
        <v>63</v>
      </c>
      <c r="I15" s="31" t="s">
        <v>72</v>
      </c>
      <c r="J15" s="32"/>
      <c r="K15" s="30" t="s">
        <v>56</v>
      </c>
      <c r="L15" s="29" t="s">
        <v>64</v>
      </c>
    </row>
    <row r="16" spans="1:12" ht="30" customHeight="1" x14ac:dyDescent="0.3">
      <c r="A16" s="29">
        <v>2</v>
      </c>
      <c r="B16" s="31" t="s">
        <v>66</v>
      </c>
      <c r="C16" s="29" t="s">
        <v>67</v>
      </c>
      <c r="D16" s="32">
        <v>46130</v>
      </c>
      <c r="E16" s="29" t="s">
        <v>60</v>
      </c>
      <c r="F16" s="29" t="s">
        <v>101</v>
      </c>
      <c r="G16" s="29"/>
      <c r="H16" s="29" t="s">
        <v>63</v>
      </c>
      <c r="I16" s="31" t="s">
        <v>72</v>
      </c>
      <c r="J16" s="32"/>
      <c r="K16" s="30" t="s">
        <v>56</v>
      </c>
      <c r="L16" s="29" t="s">
        <v>68</v>
      </c>
    </row>
    <row r="17" spans="1:12" ht="30" customHeight="1" x14ac:dyDescent="0.3">
      <c r="A17" s="29">
        <v>3</v>
      </c>
      <c r="B17" s="31" t="s">
        <v>69</v>
      </c>
      <c r="C17" s="29" t="s">
        <v>70</v>
      </c>
      <c r="D17" s="32">
        <v>46132</v>
      </c>
      <c r="E17" s="29" t="s">
        <v>60</v>
      </c>
      <c r="F17" s="29" t="s">
        <v>101</v>
      </c>
      <c r="G17" s="29"/>
      <c r="H17" s="29" t="s">
        <v>63</v>
      </c>
      <c r="I17" s="31" t="s">
        <v>73</v>
      </c>
      <c r="J17" s="32"/>
      <c r="K17" s="30" t="s">
        <v>56</v>
      </c>
      <c r="L17" s="29"/>
    </row>
    <row r="18" spans="1:12" ht="30" customHeight="1" x14ac:dyDescent="0.3">
      <c r="A18" s="29">
        <v>4</v>
      </c>
      <c r="B18" s="31" t="s">
        <v>74</v>
      </c>
      <c r="C18" s="29" t="s">
        <v>80</v>
      </c>
      <c r="D18" s="32">
        <v>46133</v>
      </c>
      <c r="E18" s="29" t="s">
        <v>75</v>
      </c>
      <c r="F18" s="29" t="s">
        <v>101</v>
      </c>
      <c r="G18" s="29"/>
      <c r="H18" s="29" t="s">
        <v>63</v>
      </c>
      <c r="I18" s="31" t="s">
        <v>72</v>
      </c>
      <c r="J18" s="32"/>
      <c r="K18" s="30" t="s">
        <v>57</v>
      </c>
      <c r="L18" s="29"/>
    </row>
    <row r="19" spans="1:12" ht="30" customHeight="1" x14ac:dyDescent="0.3">
      <c r="A19" s="29">
        <v>5</v>
      </c>
      <c r="B19" s="31" t="s">
        <v>76</v>
      </c>
      <c r="C19" s="29" t="s">
        <v>78</v>
      </c>
      <c r="D19" s="32">
        <v>46134</v>
      </c>
      <c r="E19" s="29" t="s">
        <v>60</v>
      </c>
      <c r="F19" s="29"/>
      <c r="G19" s="29"/>
      <c r="H19" s="29" t="s">
        <v>104</v>
      </c>
      <c r="I19" s="31" t="s">
        <v>72</v>
      </c>
      <c r="J19" s="32"/>
      <c r="K19" s="30" t="s">
        <v>57</v>
      </c>
      <c r="L19" s="29"/>
    </row>
    <row r="20" spans="1:12" ht="30" customHeight="1" x14ac:dyDescent="0.3">
      <c r="A20" s="29">
        <v>6</v>
      </c>
      <c r="B20" s="31" t="s">
        <v>77</v>
      </c>
      <c r="C20" s="29" t="s">
        <v>78</v>
      </c>
      <c r="D20" s="32">
        <v>46135</v>
      </c>
      <c r="E20" s="29" t="s">
        <v>60</v>
      </c>
      <c r="F20" s="29"/>
      <c r="G20" s="29"/>
      <c r="H20" s="29" t="s">
        <v>105</v>
      </c>
      <c r="I20" s="31" t="s">
        <v>72</v>
      </c>
      <c r="J20" s="32"/>
      <c r="K20" s="30" t="s">
        <v>57</v>
      </c>
      <c r="L20" s="29"/>
    </row>
    <row r="21" spans="1:12" ht="30" customHeight="1" x14ac:dyDescent="0.3">
      <c r="A21" s="29">
        <v>7</v>
      </c>
      <c r="B21" s="31" t="s">
        <v>79</v>
      </c>
      <c r="C21" s="29" t="s">
        <v>80</v>
      </c>
      <c r="D21" s="32">
        <v>46136</v>
      </c>
      <c r="E21" s="29" t="s">
        <v>60</v>
      </c>
      <c r="F21" s="29" t="s">
        <v>101</v>
      </c>
      <c r="G21" s="29"/>
      <c r="H21" s="29" t="s">
        <v>106</v>
      </c>
      <c r="I21" s="31" t="s">
        <v>72</v>
      </c>
      <c r="J21" s="32"/>
      <c r="K21" s="30" t="s">
        <v>57</v>
      </c>
      <c r="L21" s="29"/>
    </row>
    <row r="22" spans="1:12" ht="30" customHeight="1" x14ac:dyDescent="0.3">
      <c r="A22" s="29">
        <v>8</v>
      </c>
      <c r="B22" s="31" t="s">
        <v>81</v>
      </c>
      <c r="C22" s="29" t="s">
        <v>83</v>
      </c>
      <c r="D22" s="32">
        <v>46137</v>
      </c>
      <c r="E22" s="29" t="s">
        <v>60</v>
      </c>
      <c r="F22" s="29" t="s">
        <v>101</v>
      </c>
      <c r="G22" s="29"/>
      <c r="H22" s="29" t="s">
        <v>107</v>
      </c>
      <c r="I22" s="31" t="s">
        <v>72</v>
      </c>
      <c r="J22" s="32"/>
      <c r="K22" s="30" t="s">
        <v>57</v>
      </c>
      <c r="L22" s="29"/>
    </row>
    <row r="23" spans="1:12" ht="30" customHeight="1" x14ac:dyDescent="0.3">
      <c r="A23" s="29">
        <v>9</v>
      </c>
      <c r="B23" s="31" t="s">
        <v>82</v>
      </c>
      <c r="C23" s="29" t="s">
        <v>84</v>
      </c>
      <c r="D23" s="32">
        <v>46138</v>
      </c>
      <c r="E23" s="29" t="s">
        <v>60</v>
      </c>
      <c r="F23" s="29" t="s">
        <v>101</v>
      </c>
      <c r="G23" s="29"/>
      <c r="H23" s="29" t="s">
        <v>108</v>
      </c>
      <c r="I23" s="31" t="s">
        <v>72</v>
      </c>
      <c r="J23" s="32"/>
      <c r="K23" s="30" t="s">
        <v>57</v>
      </c>
      <c r="L23" s="29"/>
    </row>
    <row r="24" spans="1:12" ht="30" customHeight="1" x14ac:dyDescent="0.3">
      <c r="A24" s="29">
        <v>10</v>
      </c>
      <c r="B24" s="31" t="s">
        <v>85</v>
      </c>
      <c r="C24" s="29" t="s">
        <v>86</v>
      </c>
      <c r="D24" s="32">
        <v>46139</v>
      </c>
      <c r="E24" s="29" t="s">
        <v>60</v>
      </c>
      <c r="F24" s="29" t="s">
        <v>101</v>
      </c>
      <c r="G24" s="29"/>
      <c r="H24" s="29" t="s">
        <v>109</v>
      </c>
      <c r="I24" s="31" t="s">
        <v>72</v>
      </c>
      <c r="J24" s="32"/>
      <c r="K24" s="30" t="s">
        <v>57</v>
      </c>
      <c r="L24" s="29"/>
    </row>
    <row r="25" spans="1:12" ht="30" customHeight="1" x14ac:dyDescent="0.3">
      <c r="A25" s="29">
        <v>11</v>
      </c>
      <c r="B25" s="29"/>
      <c r="C25" s="29"/>
      <c r="D25" s="32"/>
      <c r="E25" s="29"/>
      <c r="F25" s="29"/>
      <c r="G25" s="29"/>
      <c r="H25" s="29"/>
      <c r="I25" s="31"/>
      <c r="J25" s="32"/>
      <c r="K25" s="30" t="s">
        <v>57</v>
      </c>
      <c r="L25" s="29"/>
    </row>
    <row r="26" spans="1:12" ht="30" customHeight="1" x14ac:dyDescent="0.3">
      <c r="A26" s="29">
        <v>12</v>
      </c>
      <c r="B26" s="29"/>
      <c r="C26" s="29"/>
      <c r="D26" s="32"/>
      <c r="E26" s="29"/>
      <c r="F26" s="29"/>
      <c r="G26" s="29"/>
      <c r="H26" s="29"/>
      <c r="I26" s="31"/>
      <c r="J26" s="32"/>
      <c r="K26" s="30" t="s">
        <v>55</v>
      </c>
      <c r="L26" s="29"/>
    </row>
    <row r="27" spans="1:12" ht="30" customHeight="1" x14ac:dyDescent="0.3">
      <c r="A27" s="29">
        <v>13</v>
      </c>
      <c r="B27" s="29"/>
      <c r="C27" s="29"/>
      <c r="D27" s="32"/>
      <c r="E27" s="29"/>
      <c r="F27" s="29"/>
      <c r="G27" s="29"/>
      <c r="H27" s="29"/>
      <c r="I27" s="31"/>
      <c r="J27" s="32"/>
      <c r="K27" s="30" t="s">
        <v>55</v>
      </c>
      <c r="L27" s="29"/>
    </row>
    <row r="28" spans="1:12" ht="30" customHeight="1" x14ac:dyDescent="0.3">
      <c r="A28" s="29">
        <v>14</v>
      </c>
      <c r="B28" s="29"/>
      <c r="C28" s="29"/>
      <c r="D28" s="32"/>
      <c r="E28" s="29"/>
      <c r="F28" s="29"/>
      <c r="G28" s="29"/>
      <c r="H28" s="29"/>
      <c r="I28" s="31"/>
      <c r="J28" s="32"/>
      <c r="K28" s="30" t="s">
        <v>55</v>
      </c>
      <c r="L28" s="29"/>
    </row>
  </sheetData>
  <mergeCells count="3">
    <mergeCell ref="C1:L2"/>
    <mergeCell ref="A4:A5"/>
    <mergeCell ref="C3:L3"/>
  </mergeCells>
  <phoneticPr fontId="2" type="noConversion"/>
  <dataValidations count="12">
    <dataValidation allowBlank="1" showInputMessage="1" showErrorMessage="1" prompt="Create a Membership List in this worksheet. Title of this worksheet is in this cell. Enter Club Name within brackets in this cell" sqref="B4" xr:uid="{00000000-0002-0000-0000-000000000000}"/>
    <dataValidation allowBlank="1" showInputMessage="1" showErrorMessage="1" prompt="Enter Member Name in this column under this heading. Use heading filters to find specific entries" sqref="B5:B6" xr:uid="{00000000-0002-0000-0000-000001000000}"/>
    <dataValidation allowBlank="1" showInputMessage="1" showErrorMessage="1" prompt="Enter Position in this column under this heading" sqref="C5:C14" xr:uid="{00000000-0002-0000-0000-000002000000}"/>
    <dataValidation allowBlank="1" showInputMessage="1" showErrorMessage="1" prompt="Enter Dues Paid in this column under this heading" sqref="D5" xr:uid="{00000000-0002-0000-0000-000003000000}"/>
    <dataValidation allowBlank="1" showInputMessage="1" showErrorMessage="1" prompt="Enter Volunteer Interests in this column under this heading" sqref="F21:F24 F16:F18 F5:F14" xr:uid="{00000000-0002-0000-0000-000004000000}"/>
    <dataValidation allowBlank="1" showInputMessage="1" showErrorMessage="1" prompt="Enter Phone number in this column under this heading" sqref="G5:G8 G10:G14" xr:uid="{00000000-0002-0000-0000-000005000000}"/>
    <dataValidation allowBlank="1" showInputMessage="1" showErrorMessage="1" prompt="Enter Street Address in this column under this heading" sqref="J5:J6 H5:I5" xr:uid="{00000000-0002-0000-0000-000006000000}"/>
    <dataValidation allowBlank="1" showInputMessage="1" showErrorMessage="1" prompt="Enter Email Address in this column under this heading" sqref="K5" xr:uid="{00000000-0002-0000-0000-00000A000000}"/>
    <dataValidation allowBlank="1" showInputMessage="1" showErrorMessage="1" prompt="Enter Notes in this column under this heading" sqref="L5:L14" xr:uid="{00000000-0002-0000-0000-00000C000000}"/>
    <dataValidation allowBlank="1" showInputMessage="1" showErrorMessage="1" prompt="Enter Membership Start Year in this column under this heading" sqref="E5:E14" xr:uid="{00000000-0002-0000-0000-00000D000000}"/>
    <dataValidation type="list" allowBlank="1" showInputMessage="1" showErrorMessage="1" sqref="K6:K28" xr:uid="{7F6EE066-A400-4299-9BDE-4BD8D7B1D4AE}">
      <formula1>"✅Finish,🔄️On Progress,⚠️Pending"</formula1>
    </dataValidation>
    <dataValidation type="list" allowBlank="1" showInputMessage="1" showErrorMessage="1" sqref="I6:I28" xr:uid="{11775BAB-89A4-4941-8F5F-B946F03DE437}">
      <formula1>"✒️PENGAJUAN,🗣BELUM PENGAJUAN"</formula1>
    </dataValidation>
  </dataValidations>
  <printOptions horizontalCentered="1"/>
  <pageMargins left="0.25" right="0.25" top="0.75" bottom="0.75" header="0.3" footer="0.3"/>
  <pageSetup scale="48" fitToHeight="0" orientation="landscape" r:id="rId1"/>
  <headerFooter differentFirst="1">
    <oddFooter>Page &amp;P of &amp;N</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83A4-22D2-43A7-BF91-71061E798ACF}">
  <sheetPr>
    <tabColor theme="4" tint="0.499984740745262"/>
    <pageSetUpPr fitToPage="1"/>
  </sheetPr>
  <dimension ref="B1:AH22"/>
  <sheetViews>
    <sheetView showGridLines="0" topLeftCell="A3" zoomScaleNormal="100" workbookViewId="0">
      <selection activeCell="AL17" sqref="AL17"/>
    </sheetView>
  </sheetViews>
  <sheetFormatPr defaultColWidth="7.58203125" defaultRowHeight="30" customHeight="1" x14ac:dyDescent="0.3"/>
  <cols>
    <col min="1" max="1" width="2.33203125" style="4" customWidth="1"/>
    <col min="2" max="2" width="39.25" style="4" customWidth="1"/>
    <col min="3" max="33" width="4.08203125" style="4" customWidth="1"/>
    <col min="34" max="34" width="11.75" style="4" customWidth="1"/>
    <col min="35" max="35" width="2.33203125" style="4" customWidth="1"/>
    <col min="36" max="16384" width="7.58203125" style="4"/>
  </cols>
  <sheetData>
    <row r="1" spans="2:34" ht="49.9" customHeight="1" x14ac:dyDescent="0.5">
      <c r="B1" s="3" t="s">
        <v>45</v>
      </c>
    </row>
    <row r="2" spans="2:34" ht="100.15" customHeight="1" x14ac:dyDescent="0.3">
      <c r="B2" s="5" t="s">
        <v>10</v>
      </c>
    </row>
    <row r="3" spans="2:34" ht="15" customHeight="1" x14ac:dyDescent="0.3">
      <c r="B3" s="6"/>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row>
    <row r="4" spans="2:34" ht="30" customHeight="1" x14ac:dyDescent="0.3">
      <c r="B4" s="8" t="s">
        <v>8</v>
      </c>
      <c r="C4" s="26" t="s">
        <v>47</v>
      </c>
      <c r="D4" s="45" t="s">
        <v>46</v>
      </c>
      <c r="E4" s="45"/>
      <c r="F4" s="45"/>
      <c r="G4" s="9" t="s">
        <v>50</v>
      </c>
      <c r="H4" s="45" t="s">
        <v>49</v>
      </c>
      <c r="I4" s="45"/>
      <c r="J4" s="45"/>
      <c r="K4" s="10" t="s">
        <v>52</v>
      </c>
      <c r="L4" s="45" t="s">
        <v>51</v>
      </c>
      <c r="M4" s="45"/>
      <c r="N4" s="11"/>
      <c r="O4" s="45" t="s">
        <v>11</v>
      </c>
      <c r="P4" s="45"/>
      <c r="Q4" s="45"/>
      <c r="R4" s="12"/>
      <c r="S4" s="45" t="s">
        <v>12</v>
      </c>
      <c r="T4" s="45"/>
      <c r="U4" s="45"/>
    </row>
    <row r="5" spans="2:34" ht="15" customHeight="1" x14ac:dyDescent="0.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row>
    <row r="6" spans="2:34" ht="49.9" customHeight="1" x14ac:dyDescent="0.3">
      <c r="B6" s="14"/>
      <c r="C6" s="46" t="s">
        <v>48</v>
      </c>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27">
        <f>CalendarYear</f>
        <v>2026</v>
      </c>
    </row>
    <row r="7" spans="2:34" ht="30" customHeight="1" x14ac:dyDescent="0.3">
      <c r="B7" s="14"/>
      <c r="C7" s="15" t="str">
        <f>TEXT(WEEKDAY(DATE(CalendarYear,4,1),1),"aaa")</f>
        <v>Wed</v>
      </c>
      <c r="D7" s="15" t="str">
        <f>TEXT(WEEKDAY(DATE(CalendarYear,4,2),1),"aaa")</f>
        <v>Thu</v>
      </c>
      <c r="E7" s="15" t="str">
        <f>TEXT(WEEKDAY(DATE(CalendarYear,4,3),1),"aaa")</f>
        <v>Fri</v>
      </c>
      <c r="F7" s="15" t="str">
        <f>TEXT(WEEKDAY(DATE(CalendarYear,4,4),1),"aaa")</f>
        <v>Sat</v>
      </c>
      <c r="G7" s="15" t="str">
        <f>TEXT(WEEKDAY(DATE(CalendarYear,4,5),1),"aaa")</f>
        <v>Sun</v>
      </c>
      <c r="H7" s="15" t="str">
        <f>TEXT(WEEKDAY(DATE(CalendarYear,4,6),1),"aaa")</f>
        <v>Mon</v>
      </c>
      <c r="I7" s="15" t="str">
        <f>TEXT(WEEKDAY(DATE(CalendarYear,4,7),1),"aaa")</f>
        <v>Tue</v>
      </c>
      <c r="J7" s="15" t="str">
        <f>TEXT(WEEKDAY(DATE(CalendarYear,4,8),1),"aaa")</f>
        <v>Wed</v>
      </c>
      <c r="K7" s="15" t="str">
        <f>TEXT(WEEKDAY(DATE(CalendarYear,4,9),1),"aaa")</f>
        <v>Thu</v>
      </c>
      <c r="L7" s="15" t="str">
        <f>TEXT(WEEKDAY(DATE(CalendarYear,4,10),1),"aaa")</f>
        <v>Fri</v>
      </c>
      <c r="M7" s="15" t="str">
        <f>TEXT(WEEKDAY(DATE(CalendarYear,4,11),1),"aaa")</f>
        <v>Sat</v>
      </c>
      <c r="N7" s="15" t="str">
        <f>TEXT(WEEKDAY(DATE(CalendarYear,4,12),1),"aaa")</f>
        <v>Sun</v>
      </c>
      <c r="O7" s="15" t="str">
        <f>TEXT(WEEKDAY(DATE(CalendarYear,4,13),1),"aaa")</f>
        <v>Mon</v>
      </c>
      <c r="P7" s="15" t="str">
        <f>TEXT(WEEKDAY(DATE(CalendarYear,4,14),1),"aaa")</f>
        <v>Tue</v>
      </c>
      <c r="Q7" s="15" t="str">
        <f>TEXT(WEEKDAY(DATE(CalendarYear,4,15),1),"aaa")</f>
        <v>Wed</v>
      </c>
      <c r="R7" s="15" t="str">
        <f>TEXT(WEEKDAY(DATE(CalendarYear,4,16),1),"aaa")</f>
        <v>Thu</v>
      </c>
      <c r="S7" s="15" t="str">
        <f>TEXT(WEEKDAY(DATE(CalendarYear,4,17),1),"aaa")</f>
        <v>Fri</v>
      </c>
      <c r="T7" s="15" t="str">
        <f>TEXT(WEEKDAY(DATE(CalendarYear,4,18),1),"aaa")</f>
        <v>Sat</v>
      </c>
      <c r="U7" s="15" t="str">
        <f>TEXT(WEEKDAY(DATE(CalendarYear,4,19),1),"aaa")</f>
        <v>Sun</v>
      </c>
      <c r="V7" s="15" t="str">
        <f>TEXT(WEEKDAY(DATE(CalendarYear,4,20),1),"aaa")</f>
        <v>Mon</v>
      </c>
      <c r="W7" s="15" t="str">
        <f>TEXT(WEEKDAY(DATE(CalendarYear,4,21),1),"aaa")</f>
        <v>Tue</v>
      </c>
      <c r="X7" s="15" t="str">
        <f>TEXT(WEEKDAY(DATE(CalendarYear,4,22),1),"aaa")</f>
        <v>Wed</v>
      </c>
      <c r="Y7" s="15" t="str">
        <f>TEXT(WEEKDAY(DATE(CalendarYear,4,23),1),"aaa")</f>
        <v>Thu</v>
      </c>
      <c r="Z7" s="15" t="str">
        <f>TEXT(WEEKDAY(DATE(CalendarYear,4,24),1),"aaa")</f>
        <v>Fri</v>
      </c>
      <c r="AA7" s="15" t="str">
        <f>TEXT(WEEKDAY(DATE(CalendarYear,4,25),1),"aaa")</f>
        <v>Sat</v>
      </c>
      <c r="AB7" s="15" t="str">
        <f>TEXT(WEEKDAY(DATE(CalendarYear,4,26),1),"aaa")</f>
        <v>Sun</v>
      </c>
      <c r="AC7" s="15" t="str">
        <f>TEXT(WEEKDAY(DATE(CalendarYear,4,27),1),"aaa")</f>
        <v>Mon</v>
      </c>
      <c r="AD7" s="15" t="str">
        <f>TEXT(WEEKDAY(DATE(CalendarYear,4,28),1),"aaa")</f>
        <v>Tue</v>
      </c>
      <c r="AE7" s="15" t="str">
        <f>TEXT(WEEKDAY(DATE(CalendarYear,4,29),1),"aaa")</f>
        <v>Wed</v>
      </c>
      <c r="AF7" s="15" t="str">
        <f>TEXT(WEEKDAY(DATE(CalendarYear,4,30),1),"aaa")</f>
        <v>Thu</v>
      </c>
      <c r="AG7" s="15"/>
      <c r="AH7" s="14"/>
    </row>
    <row r="8" spans="2:34" ht="30" customHeight="1" x14ac:dyDescent="0.3">
      <c r="B8" s="16" t="s">
        <v>5</v>
      </c>
      <c r="C8" s="23" t="s">
        <v>13</v>
      </c>
      <c r="D8" s="23" t="s">
        <v>14</v>
      </c>
      <c r="E8" s="23" t="s">
        <v>15</v>
      </c>
      <c r="F8" s="23" t="s">
        <v>16</v>
      </c>
      <c r="G8" s="23" t="s">
        <v>17</v>
      </c>
      <c r="H8" s="23" t="s">
        <v>18</v>
      </c>
      <c r="I8" s="23" t="s">
        <v>19</v>
      </c>
      <c r="J8" s="23" t="s">
        <v>20</v>
      </c>
      <c r="K8" s="23" t="s">
        <v>21</v>
      </c>
      <c r="L8" s="23" t="s">
        <v>22</v>
      </c>
      <c r="M8" s="23" t="s">
        <v>23</v>
      </c>
      <c r="N8" s="23" t="s">
        <v>24</v>
      </c>
      <c r="O8" s="23" t="s">
        <v>25</v>
      </c>
      <c r="P8" s="23" t="s">
        <v>26</v>
      </c>
      <c r="Q8" s="23" t="s">
        <v>27</v>
      </c>
      <c r="R8" s="23" t="s">
        <v>28</v>
      </c>
      <c r="S8" s="23" t="s">
        <v>29</v>
      </c>
      <c r="T8" s="23" t="s">
        <v>30</v>
      </c>
      <c r="U8" s="23" t="s">
        <v>31</v>
      </c>
      <c r="V8" s="23" t="s">
        <v>32</v>
      </c>
      <c r="W8" s="23" t="s">
        <v>33</v>
      </c>
      <c r="X8" s="23" t="s">
        <v>34</v>
      </c>
      <c r="Y8" s="23" t="s">
        <v>35</v>
      </c>
      <c r="Z8" s="23" t="s">
        <v>36</v>
      </c>
      <c r="AA8" s="23" t="s">
        <v>37</v>
      </c>
      <c r="AB8" s="23" t="s">
        <v>38</v>
      </c>
      <c r="AC8" s="23" t="s">
        <v>39</v>
      </c>
      <c r="AD8" s="23" t="s">
        <v>40</v>
      </c>
      <c r="AE8" s="23" t="s">
        <v>41</v>
      </c>
      <c r="AF8" s="23" t="s">
        <v>42</v>
      </c>
      <c r="AG8" s="23" t="s">
        <v>43</v>
      </c>
      <c r="AH8" s="18" t="s">
        <v>44</v>
      </c>
    </row>
    <row r="9" spans="2:34" ht="30" customHeight="1" x14ac:dyDescent="0.3">
      <c r="B9" s="19" t="s">
        <v>58</v>
      </c>
      <c r="C9" s="17"/>
      <c r="D9" s="17"/>
      <c r="E9" s="17"/>
      <c r="F9" s="17"/>
      <c r="G9" s="17"/>
      <c r="H9" s="17"/>
      <c r="I9" s="17"/>
      <c r="J9" s="17"/>
      <c r="K9" s="17"/>
      <c r="L9" s="17"/>
      <c r="M9" s="17"/>
      <c r="N9" s="17"/>
      <c r="O9" s="17"/>
      <c r="P9" s="17"/>
      <c r="Q9" s="17"/>
      <c r="R9" s="17"/>
      <c r="S9" s="17"/>
      <c r="T9" s="38" t="s">
        <v>47</v>
      </c>
      <c r="U9" s="38" t="s">
        <v>47</v>
      </c>
      <c r="V9" s="38" t="s">
        <v>47</v>
      </c>
      <c r="W9" s="38" t="s">
        <v>47</v>
      </c>
      <c r="X9" s="38" t="s">
        <v>47</v>
      </c>
      <c r="Y9" s="38" t="s">
        <v>47</v>
      </c>
      <c r="Z9" s="38" t="s">
        <v>47</v>
      </c>
      <c r="AA9" s="38" t="s">
        <v>47</v>
      </c>
      <c r="AB9" s="38" t="s">
        <v>47</v>
      </c>
      <c r="AC9" s="17"/>
      <c r="AD9" s="17"/>
      <c r="AE9" s="17"/>
      <c r="AF9" s="17"/>
      <c r="AG9" s="17"/>
      <c r="AH9" s="20">
        <f>COUNTA(March5[[#This Row],[1]:[ ]])</f>
        <v>9</v>
      </c>
    </row>
    <row r="10" spans="2:34" ht="30" customHeight="1" x14ac:dyDescent="0.3">
      <c r="B10" s="24" t="s">
        <v>66</v>
      </c>
      <c r="C10" s="23"/>
      <c r="D10" s="23"/>
      <c r="E10" s="23"/>
      <c r="F10" s="23"/>
      <c r="G10" s="23"/>
      <c r="H10" s="23"/>
      <c r="I10" s="23"/>
      <c r="J10" s="23"/>
      <c r="K10" s="23"/>
      <c r="L10" s="23"/>
      <c r="M10" s="23"/>
      <c r="N10" s="23"/>
      <c r="O10" s="23"/>
      <c r="P10" s="23"/>
      <c r="Q10" s="23"/>
      <c r="R10" s="23"/>
      <c r="S10" s="23"/>
      <c r="T10" s="38" t="s">
        <v>47</v>
      </c>
      <c r="U10" s="38" t="s">
        <v>47</v>
      </c>
      <c r="V10" s="38" t="s">
        <v>47</v>
      </c>
      <c r="W10" s="38" t="s">
        <v>47</v>
      </c>
      <c r="X10" s="38" t="s">
        <v>47</v>
      </c>
      <c r="Y10" s="38" t="s">
        <v>47</v>
      </c>
      <c r="Z10" s="38" t="s">
        <v>47</v>
      </c>
      <c r="AA10" s="38" t="s">
        <v>47</v>
      </c>
      <c r="AB10" s="38" t="s">
        <v>47</v>
      </c>
      <c r="AC10" s="23"/>
      <c r="AD10" s="23"/>
      <c r="AE10" s="23"/>
      <c r="AF10" s="23"/>
      <c r="AG10" s="23"/>
      <c r="AH10" s="25">
        <f>COUNTA(March5[[#This Row],[1]:[ ]])</f>
        <v>9</v>
      </c>
    </row>
    <row r="11" spans="2:34" ht="30" customHeight="1" x14ac:dyDescent="0.3">
      <c r="B11" s="19" t="s">
        <v>69</v>
      </c>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20">
        <f>COUNTA(March5[[#This Row],[1]:[ ]])</f>
        <v>0</v>
      </c>
    </row>
    <row r="12" spans="2:34" ht="30" customHeight="1" x14ac:dyDescent="0.3">
      <c r="B12" s="24" t="s">
        <v>74</v>
      </c>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5">
        <f>COUNTA(March5[[#This Row],[1]:[ ]])</f>
        <v>0</v>
      </c>
    </row>
    <row r="13" spans="2:34" ht="30" customHeight="1" x14ac:dyDescent="0.3">
      <c r="B13" s="19" t="s">
        <v>76</v>
      </c>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20">
        <f>COUNTA(March5[[#This Row],[1]:[ ]])</f>
        <v>0</v>
      </c>
    </row>
    <row r="14" spans="2:34" ht="30" customHeight="1" x14ac:dyDescent="0.3">
      <c r="B14" s="24" t="s">
        <v>77</v>
      </c>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5">
        <f>COUNTA(March5[[#This Row],[1]:[ ]])</f>
        <v>0</v>
      </c>
    </row>
    <row r="15" spans="2:34" ht="30" customHeight="1" x14ac:dyDescent="0.3">
      <c r="B15" s="19" t="s">
        <v>79</v>
      </c>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20">
        <f>COUNTA(March5[[#This Row],[1]:[ ]])</f>
        <v>0</v>
      </c>
    </row>
    <row r="16" spans="2:34" ht="30" customHeight="1" x14ac:dyDescent="0.3">
      <c r="B16" s="24" t="s">
        <v>81</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5">
        <f>COUNTA(March5[[#This Row],[1]:[ ]])</f>
        <v>0</v>
      </c>
    </row>
    <row r="17" spans="2:34" ht="30" customHeight="1" x14ac:dyDescent="0.3">
      <c r="B17" s="19" t="s">
        <v>82</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20">
        <f>COUNTA(March5[[#This Row],[1]:[ ]])</f>
        <v>0</v>
      </c>
    </row>
    <row r="18" spans="2:34" ht="30" customHeight="1" x14ac:dyDescent="0.3">
      <c r="B18" s="24" t="s">
        <v>85</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5">
        <f>COUNTA(March5[[#This Row],[1]:[ ]])</f>
        <v>0</v>
      </c>
    </row>
    <row r="19" spans="2:34" ht="30" customHeight="1" x14ac:dyDescent="0.3">
      <c r="B19" s="19"/>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20">
        <f>COUNTA(March5[[#This Row],[1]:[ ]])</f>
        <v>0</v>
      </c>
    </row>
    <row r="20" spans="2:34" ht="30" customHeight="1" x14ac:dyDescent="0.3">
      <c r="B20" s="24"/>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5">
        <f>COUNTA(March5[[#This Row],[1]:[ ]])</f>
        <v>0</v>
      </c>
    </row>
    <row r="21" spans="2:34" ht="30" customHeight="1" x14ac:dyDescent="0.3">
      <c r="B21" s="19"/>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20">
        <f>COUNTA(March5[[#This Row],[1]:[ ]])</f>
        <v>0</v>
      </c>
    </row>
    <row r="22" spans="2:34" ht="30" customHeight="1" x14ac:dyDescent="0.3">
      <c r="B22" s="36" t="str">
        <f>MonthName&amp;" Total"</f>
        <v xml:space="preserve"> Total</v>
      </c>
      <c r="C22" s="37">
        <f>SUBTOTAL(103,March5[1])</f>
        <v>0</v>
      </c>
      <c r="D22" s="37">
        <f>SUBTOTAL(103,March5[2])</f>
        <v>0</v>
      </c>
      <c r="E22" s="37">
        <f>SUBTOTAL(103,March5[3])</f>
        <v>0</v>
      </c>
      <c r="F22" s="37">
        <f>SUBTOTAL(103,March5[4])</f>
        <v>0</v>
      </c>
      <c r="G22" s="37">
        <f>SUBTOTAL(103,March5[5])</f>
        <v>0</v>
      </c>
      <c r="H22" s="37">
        <f>SUBTOTAL(103,March5[6])</f>
        <v>0</v>
      </c>
      <c r="I22" s="37">
        <f>SUBTOTAL(103,March5[7])</f>
        <v>0</v>
      </c>
      <c r="J22" s="37">
        <f>SUBTOTAL(103,March5[8])</f>
        <v>0</v>
      </c>
      <c r="K22" s="37">
        <f>SUBTOTAL(103,March5[9])</f>
        <v>0</v>
      </c>
      <c r="L22" s="37">
        <f>SUBTOTAL(103,March5[10])</f>
        <v>0</v>
      </c>
      <c r="M22" s="37">
        <f>SUBTOTAL(103,March5[11])</f>
        <v>0</v>
      </c>
      <c r="N22" s="37">
        <f>SUBTOTAL(103,March5[12])</f>
        <v>0</v>
      </c>
      <c r="O22" s="37">
        <f>SUBTOTAL(103,March5[13])</f>
        <v>0</v>
      </c>
      <c r="P22" s="37">
        <f>SUBTOTAL(103,March5[14])</f>
        <v>0</v>
      </c>
      <c r="Q22" s="37">
        <f>SUBTOTAL(103,March5[15])</f>
        <v>0</v>
      </c>
      <c r="R22" s="37">
        <f>SUBTOTAL(103,March5[16])</f>
        <v>0</v>
      </c>
      <c r="S22" s="37">
        <f>SUBTOTAL(103,March5[17])</f>
        <v>0</v>
      </c>
      <c r="T22" s="37">
        <f>SUBTOTAL(103,March5[18])</f>
        <v>2</v>
      </c>
      <c r="U22" s="37">
        <f>SUBTOTAL(103,March5[19])</f>
        <v>2</v>
      </c>
      <c r="V22" s="37">
        <f>SUBTOTAL(103,March5[20])</f>
        <v>2</v>
      </c>
      <c r="W22" s="37">
        <f>SUBTOTAL(103,March5[21])</f>
        <v>2</v>
      </c>
      <c r="X22" s="37">
        <f>SUBTOTAL(103,March5[22])</f>
        <v>2</v>
      </c>
      <c r="Y22" s="37">
        <f>SUBTOTAL(103,March5[23])</f>
        <v>2</v>
      </c>
      <c r="Z22" s="37">
        <f>SUBTOTAL(103,March5[24])</f>
        <v>2</v>
      </c>
      <c r="AA22" s="37">
        <f>SUBTOTAL(103,March5[25])</f>
        <v>2</v>
      </c>
      <c r="AB22" s="37">
        <f>SUBTOTAL(103,March5[26])</f>
        <v>2</v>
      </c>
      <c r="AC22" s="37">
        <f>SUBTOTAL(103,March5[27])</f>
        <v>0</v>
      </c>
      <c r="AD22" s="37">
        <f>SUBTOTAL(103,March5[28])</f>
        <v>0</v>
      </c>
      <c r="AE22" s="37">
        <f>SUBTOTAL(103,March5[29])</f>
        <v>0</v>
      </c>
      <c r="AF22" s="37">
        <f>SUBTOTAL(109,March5[30])</f>
        <v>0</v>
      </c>
      <c r="AG22" s="37">
        <f>SUBTOTAL(109,March5[[ ]])</f>
        <v>0</v>
      </c>
      <c r="AH22" s="37">
        <f>SUBTOTAL(109,March5[Total days])</f>
        <v>18</v>
      </c>
    </row>
  </sheetData>
  <mergeCells count="6">
    <mergeCell ref="C6:AG6"/>
    <mergeCell ref="D4:F4"/>
    <mergeCell ref="H4:J4"/>
    <mergeCell ref="L4:M4"/>
    <mergeCell ref="O4:Q4"/>
    <mergeCell ref="S4:U4"/>
  </mergeCells>
  <conditionalFormatting sqref="C9:AG21">
    <cfRule type="expression" priority="1" stopIfTrue="1">
      <formula>C9=""</formula>
    </cfRule>
    <cfRule type="expression" dxfId="9" priority="2" stopIfTrue="1">
      <formula>C9=KeyCustom2</formula>
    </cfRule>
    <cfRule type="expression" dxfId="8" priority="3" stopIfTrue="1">
      <formula>C9=KeyCustom1</formula>
    </cfRule>
    <cfRule type="expression" dxfId="7" priority="4" stopIfTrue="1">
      <formula>C9=KeySick</formula>
    </cfRule>
    <cfRule type="expression" dxfId="6" priority="5" stopIfTrue="1">
      <formula>C9=KeyPersonal</formula>
    </cfRule>
    <cfRule type="expression" dxfId="5" priority="6" stopIfTrue="1">
      <formula>C9=KeyVacation</formula>
    </cfRule>
  </conditionalFormatting>
  <conditionalFormatting sqref="AH9:AH21">
    <cfRule type="dataBar" priority="7">
      <dataBar>
        <cfvo type="min"/>
        <cfvo type="formula" val="DATEDIF(DATE(CalendarYear,2,1),DATE(CalendarYear,3,1),&quot;d&quot;)"/>
        <color theme="2" tint="-0.249977111117893"/>
      </dataBar>
      <extLst>
        <ext xmlns:x14="http://schemas.microsoft.com/office/spreadsheetml/2009/9/main" uri="{B025F937-C7B1-47D3-B67F-A62EFF666E3E}">
          <x14:id>{1F50C32B-ACE5-4A97-8D8F-9921F148CB23}</x14:id>
        </ext>
      </extLst>
    </cfRule>
  </conditionalFormatting>
  <dataValidations count="15">
    <dataValidation allowBlank="1" showInputMessage="1" showErrorMessage="1" prompt="Title of the worksheet is in this cell. " sqref="B1" xr:uid="{C64AF876-9BDC-4BD7-A32B-103B7F9BB2AE}"/>
    <dataValidation allowBlank="1" showInputMessage="1" showErrorMessage="1" prompt="This row defines the keys used in the table: cell C4 is Vacation, G4 is Personal, &amp; K4 is Sick leave. Cells N4 &amp; R4 are customizable " sqref="B4" xr:uid="{E47A2F8A-9E1F-48B9-AB3B-6E9B5EB6D927}"/>
    <dataValidation allowBlank="1" showInputMessage="1" showErrorMessage="1" prompt="Track March absence in this worksheet" sqref="A1" xr:uid="{5C7B61BF-B7E5-4E4D-97D6-26309AF5D28B}"/>
    <dataValidation allowBlank="1" showInputMessage="1" showErrorMessage="1" prompt="Weekdays in this row are automatically updated for the month according to the year in AH4. Each day of the month is a column to note an employee's absence and absence type" sqref="C7" xr:uid="{A070E2F3-20EB-4C35-AD0E-4C6978A31639}"/>
    <dataValidation allowBlank="1" showInputMessage="1" showErrorMessage="1" prompt="Days of the month in this row are automatically generated. Enter an employee's absence and absence type in each column for each day of the month. Blank means no absence" sqref="C8" xr:uid="{261D0448-537F-489B-A8D2-7A60F58FEDB7}"/>
    <dataValidation allowBlank="1" showInputMessage="1" showErrorMessage="1" prompt="Month name for this absence schedule is in this cell. Absence totals for this month are in last cell of the table. Select employee names in table column B" sqref="B2" xr:uid="{6DA86AB9-4495-40F7-810D-132DEFBFCF92}"/>
    <dataValidation allowBlank="1" showInputMessage="1" showErrorMessage="1" prompt="Enter a label to describe the custom key at left" sqref="O4:Q4 S4:U4" xr:uid="{26DA47A4-70E6-4F7F-9D72-DD7A8F55CA11}"/>
    <dataValidation allowBlank="1" showInputMessage="1" showErrorMessage="1" prompt="Enter a letter and customize the label at right to add another key item" sqref="N4 R4" xr:uid="{6C8A62BC-EA39-4639-8773-F08EFCBF5F1F}"/>
    <dataValidation allowBlank="1" showInputMessage="1" showErrorMessage="1" prompt="The letter &quot;S&quot; indicates absence due to illness" sqref="K4" xr:uid="{6F17EFD7-8414-4B25-B96D-A41715F9EF36}"/>
    <dataValidation allowBlank="1" showInputMessage="1" showErrorMessage="1" prompt="The letter &quot;P&quot; indicates absence due to personal reasons" sqref="G4" xr:uid="{F13032A5-0621-46F6-B737-0E9F3D7F8EA6}"/>
    <dataValidation allowBlank="1" showInputMessage="1" showErrorMessage="1" prompt="The letter &quot;V&quot; indicates absence due to vacation" sqref="C4" xr:uid="{51C399F7-1344-4C1C-AA27-96659E3A9C39}"/>
    <dataValidation allowBlank="1" showInputMessage="1" showErrorMessage="1" prompt="Automatically updated title is in this cell. To modify the title, update B1 on January worksheet" sqref="B2" xr:uid="{5AEC39D5-4520-412C-B806-C65532ECE49B}"/>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E980AACB-35C0-45D9-9564-C8EC4A35F271}"/>
    <dataValidation allowBlank="1" showInputMessage="1" showErrorMessage="1" prompt="Automatically calculates total number of days an employee was absent this month in this column" sqref="AH8" xr:uid="{860489FE-9837-4A04-B984-870D03CD1AC0}"/>
    <dataValidation allowBlank="1" showInputMessage="1" showErrorMessage="1" prompt="Automatically updated year based on year entered in January worksheet" sqref="AH6" xr:uid="{FEA0AF02-4209-4301-B428-AAB6CF3A6512}"/>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F50C32B-ACE5-4A97-8D8F-9921F148CB23}">
            <x14:dataBar minLength="0" maxLength="100">
              <x14:cfvo type="autoMin"/>
              <x14:cfvo type="formula">
                <xm:f>DATEDIF(DATE(CalendarYear,2,1),DATE(CalendarYear,3,1),"d")</xm:f>
              </x14:cfvo>
              <x14:negativeFillColor rgb="FFFF0000"/>
              <x14:axisColor rgb="FF000000"/>
            </x14:dataBar>
          </x14:cfRule>
          <xm:sqref>AH9:AH21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CB4B-5100-4DAE-8B10-5994D27164C6}">
  <sheetPr>
    <tabColor theme="4" tint="0.499984740745262"/>
    <pageSetUpPr fitToPage="1"/>
  </sheetPr>
  <dimension ref="B1:AH14"/>
  <sheetViews>
    <sheetView showGridLines="0" topLeftCell="A2" zoomScaleNormal="100" workbookViewId="0">
      <selection activeCell="AO6" sqref="AO6"/>
    </sheetView>
  </sheetViews>
  <sheetFormatPr defaultColWidth="7.58203125" defaultRowHeight="30" customHeight="1" x14ac:dyDescent="0.3"/>
  <cols>
    <col min="1" max="1" width="2.33203125" style="4" customWidth="1"/>
    <col min="2" max="2" width="22.5" style="4" customWidth="1"/>
    <col min="3" max="33" width="4.08203125" style="4" customWidth="1"/>
    <col min="34" max="34" width="11.75" style="4" customWidth="1"/>
    <col min="35" max="35" width="2.33203125" style="4" customWidth="1"/>
    <col min="36" max="16384" width="7.58203125" style="4"/>
  </cols>
  <sheetData>
    <row r="1" spans="2:34" ht="49.9" customHeight="1" x14ac:dyDescent="0.5">
      <c r="B1" s="3" t="s">
        <v>45</v>
      </c>
    </row>
    <row r="2" spans="2:34" ht="100.15" customHeight="1" x14ac:dyDescent="0.3">
      <c r="B2" s="5" t="s">
        <v>54</v>
      </c>
    </row>
    <row r="3" spans="2:34" ht="15" customHeight="1" x14ac:dyDescent="0.3">
      <c r="B3" s="6"/>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row>
    <row r="4" spans="2:34" ht="30" customHeight="1" x14ac:dyDescent="0.3">
      <c r="B4" s="8" t="s">
        <v>8</v>
      </c>
      <c r="C4" s="26" t="s">
        <v>47</v>
      </c>
      <c r="D4" s="45" t="s">
        <v>46</v>
      </c>
      <c r="E4" s="45"/>
      <c r="F4" s="45"/>
      <c r="G4" s="9" t="s">
        <v>50</v>
      </c>
      <c r="H4" s="45" t="s">
        <v>49</v>
      </c>
      <c r="I4" s="45"/>
      <c r="J4" s="45"/>
      <c r="K4" s="10" t="s">
        <v>52</v>
      </c>
      <c r="L4" s="45" t="s">
        <v>51</v>
      </c>
      <c r="M4" s="45"/>
      <c r="N4" s="11"/>
      <c r="O4" s="45" t="s">
        <v>11</v>
      </c>
      <c r="P4" s="45"/>
      <c r="Q4" s="45"/>
      <c r="R4" s="12"/>
      <c r="S4" s="45" t="s">
        <v>12</v>
      </c>
      <c r="T4" s="45"/>
      <c r="U4" s="45"/>
    </row>
    <row r="5" spans="2:34" ht="15" customHeight="1" x14ac:dyDescent="0.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row>
    <row r="6" spans="2:34" ht="49.9" customHeight="1" x14ac:dyDescent="0.3">
      <c r="B6" s="14"/>
      <c r="C6" s="46" t="s">
        <v>48</v>
      </c>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27">
        <f>CalendarYear</f>
        <v>2026</v>
      </c>
    </row>
    <row r="7" spans="2:34" ht="30" customHeight="1" x14ac:dyDescent="0.3">
      <c r="B7" s="14"/>
      <c r="C7" s="15" t="str">
        <f>TEXT(WEEKDAY(DATE(CalendarYear,4,1),1),"aaa")</f>
        <v>Wed</v>
      </c>
      <c r="D7" s="15" t="str">
        <f>TEXT(WEEKDAY(DATE(CalendarYear,4,2),1),"aaa")</f>
        <v>Thu</v>
      </c>
      <c r="E7" s="15" t="str">
        <f>TEXT(WEEKDAY(DATE(CalendarYear,4,3),1),"aaa")</f>
        <v>Fri</v>
      </c>
      <c r="F7" s="15" t="str">
        <f>TEXT(WEEKDAY(DATE(CalendarYear,4,4),1),"aaa")</f>
        <v>Sat</v>
      </c>
      <c r="G7" s="15" t="str">
        <f>TEXT(WEEKDAY(DATE(CalendarYear,4,5),1),"aaa")</f>
        <v>Sun</v>
      </c>
      <c r="H7" s="15" t="str">
        <f>TEXT(WEEKDAY(DATE(CalendarYear,4,6),1),"aaa")</f>
        <v>Mon</v>
      </c>
      <c r="I7" s="15" t="str">
        <f>TEXT(WEEKDAY(DATE(CalendarYear,4,7),1),"aaa")</f>
        <v>Tue</v>
      </c>
      <c r="J7" s="15" t="str">
        <f>TEXT(WEEKDAY(DATE(CalendarYear,4,8),1),"aaa")</f>
        <v>Wed</v>
      </c>
      <c r="K7" s="15" t="str">
        <f>TEXT(WEEKDAY(DATE(CalendarYear,4,9),1),"aaa")</f>
        <v>Thu</v>
      </c>
      <c r="L7" s="15" t="str">
        <f>TEXT(WEEKDAY(DATE(CalendarYear,4,10),1),"aaa")</f>
        <v>Fri</v>
      </c>
      <c r="M7" s="15" t="str">
        <f>TEXT(WEEKDAY(DATE(CalendarYear,4,11),1),"aaa")</f>
        <v>Sat</v>
      </c>
      <c r="N7" s="15" t="str">
        <f>TEXT(WEEKDAY(DATE(CalendarYear,4,12),1),"aaa")</f>
        <v>Sun</v>
      </c>
      <c r="O7" s="15" t="str">
        <f>TEXT(WEEKDAY(DATE(CalendarYear,4,13),1),"aaa")</f>
        <v>Mon</v>
      </c>
      <c r="P7" s="15" t="str">
        <f>TEXT(WEEKDAY(DATE(CalendarYear,4,14),1),"aaa")</f>
        <v>Tue</v>
      </c>
      <c r="Q7" s="15" t="str">
        <f>TEXT(WEEKDAY(DATE(CalendarYear,4,15),1),"aaa")</f>
        <v>Wed</v>
      </c>
      <c r="R7" s="15" t="str">
        <f>TEXT(WEEKDAY(DATE(CalendarYear,4,16),1),"aaa")</f>
        <v>Thu</v>
      </c>
      <c r="S7" s="15" t="str">
        <f>TEXT(WEEKDAY(DATE(CalendarYear,4,17),1),"aaa")</f>
        <v>Fri</v>
      </c>
      <c r="T7" s="15" t="str">
        <f>TEXT(WEEKDAY(DATE(CalendarYear,4,18),1),"aaa")</f>
        <v>Sat</v>
      </c>
      <c r="U7" s="15" t="str">
        <f>TEXT(WEEKDAY(DATE(CalendarYear,4,19),1),"aaa")</f>
        <v>Sun</v>
      </c>
      <c r="V7" s="15" t="str">
        <f>TEXT(WEEKDAY(DATE(CalendarYear,4,20),1),"aaa")</f>
        <v>Mon</v>
      </c>
      <c r="W7" s="15" t="str">
        <f>TEXT(WEEKDAY(DATE(CalendarYear,4,21),1),"aaa")</f>
        <v>Tue</v>
      </c>
      <c r="X7" s="15" t="str">
        <f>TEXT(WEEKDAY(DATE(CalendarYear,4,22),1),"aaa")</f>
        <v>Wed</v>
      </c>
      <c r="Y7" s="15" t="str">
        <f>TEXT(WEEKDAY(DATE(CalendarYear,4,23),1),"aaa")</f>
        <v>Thu</v>
      </c>
      <c r="Z7" s="15" t="str">
        <f>TEXT(WEEKDAY(DATE(CalendarYear,4,24),1),"aaa")</f>
        <v>Fri</v>
      </c>
      <c r="AA7" s="15" t="str">
        <f>TEXT(WEEKDAY(DATE(CalendarYear,4,25),1),"aaa")</f>
        <v>Sat</v>
      </c>
      <c r="AB7" s="15" t="str">
        <f>TEXT(WEEKDAY(DATE(CalendarYear,4,26),1),"aaa")</f>
        <v>Sun</v>
      </c>
      <c r="AC7" s="15" t="str">
        <f>TEXT(WEEKDAY(DATE(CalendarYear,4,27),1),"aaa")</f>
        <v>Mon</v>
      </c>
      <c r="AD7" s="15" t="str">
        <f>TEXT(WEEKDAY(DATE(CalendarYear,4,28),1),"aaa")</f>
        <v>Tue</v>
      </c>
      <c r="AE7" s="15" t="str">
        <f>TEXT(WEEKDAY(DATE(CalendarYear,4,29),1),"aaa")</f>
        <v>Wed</v>
      </c>
      <c r="AF7" s="15" t="str">
        <f>TEXT(WEEKDAY(DATE(CalendarYear,4,30),1),"aaa")</f>
        <v>Thu</v>
      </c>
      <c r="AG7" s="15"/>
      <c r="AH7" s="14"/>
    </row>
    <row r="8" spans="2:34" ht="30" customHeight="1" x14ac:dyDescent="0.3">
      <c r="B8" s="16" t="s">
        <v>5</v>
      </c>
      <c r="C8" s="23" t="s">
        <v>13</v>
      </c>
      <c r="D8" s="23" t="s">
        <v>14</v>
      </c>
      <c r="E8" s="23" t="s">
        <v>15</v>
      </c>
      <c r="F8" s="23" t="s">
        <v>16</v>
      </c>
      <c r="G8" s="23" t="s">
        <v>17</v>
      </c>
      <c r="H8" s="23" t="s">
        <v>18</v>
      </c>
      <c r="I8" s="23" t="s">
        <v>19</v>
      </c>
      <c r="J8" s="23" t="s">
        <v>20</v>
      </c>
      <c r="K8" s="23" t="s">
        <v>21</v>
      </c>
      <c r="L8" s="23" t="s">
        <v>22</v>
      </c>
      <c r="M8" s="23" t="s">
        <v>23</v>
      </c>
      <c r="N8" s="23" t="s">
        <v>24</v>
      </c>
      <c r="O8" s="23" t="s">
        <v>25</v>
      </c>
      <c r="P8" s="23" t="s">
        <v>26</v>
      </c>
      <c r="Q8" s="23" t="s">
        <v>27</v>
      </c>
      <c r="R8" s="23" t="s">
        <v>28</v>
      </c>
      <c r="S8" s="23" t="s">
        <v>29</v>
      </c>
      <c r="T8" s="23" t="s">
        <v>30</v>
      </c>
      <c r="U8" s="23" t="s">
        <v>31</v>
      </c>
      <c r="V8" s="23" t="s">
        <v>32</v>
      </c>
      <c r="W8" s="23" t="s">
        <v>33</v>
      </c>
      <c r="X8" s="23" t="s">
        <v>34</v>
      </c>
      <c r="Y8" s="23" t="s">
        <v>35</v>
      </c>
      <c r="Z8" s="23" t="s">
        <v>36</v>
      </c>
      <c r="AA8" s="23" t="s">
        <v>37</v>
      </c>
      <c r="AB8" s="23" t="s">
        <v>38</v>
      </c>
      <c r="AC8" s="23" t="s">
        <v>39</v>
      </c>
      <c r="AD8" s="23" t="s">
        <v>40</v>
      </c>
      <c r="AE8" s="23" t="s">
        <v>41</v>
      </c>
      <c r="AF8" s="23" t="s">
        <v>42</v>
      </c>
      <c r="AG8" s="23" t="s">
        <v>43</v>
      </c>
      <c r="AH8" s="18" t="s">
        <v>44</v>
      </c>
    </row>
    <row r="9" spans="2:34" ht="30" customHeight="1" x14ac:dyDescent="0.3">
      <c r="B9" s="19"/>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20">
        <f>COUNTA(March55[[#This Row],[1]:[ ]])</f>
        <v>0</v>
      </c>
    </row>
    <row r="10" spans="2:34" ht="30" customHeight="1" x14ac:dyDescent="0.3">
      <c r="B10" s="24"/>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5">
        <f>COUNTA(March55[[#This Row],[1]:[ ]])</f>
        <v>0</v>
      </c>
    </row>
    <row r="11" spans="2:34" ht="30" customHeight="1" x14ac:dyDescent="0.3">
      <c r="B11" s="19"/>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20">
        <f>COUNTA(March55[[#This Row],[1]:[ ]])</f>
        <v>0</v>
      </c>
    </row>
    <row r="12" spans="2:34" ht="30" customHeight="1" x14ac:dyDescent="0.3">
      <c r="B12" s="24"/>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5">
        <f>COUNTA(March55[[#This Row],[1]:[ ]])</f>
        <v>0</v>
      </c>
    </row>
    <row r="13" spans="2:34" ht="30" customHeight="1" x14ac:dyDescent="0.3">
      <c r="B13" s="19"/>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20">
        <f>COUNTA(March55[[#This Row],[1]:[ ]])</f>
        <v>0</v>
      </c>
    </row>
    <row r="14" spans="2:34" ht="30" customHeight="1" x14ac:dyDescent="0.3">
      <c r="B14" s="21" t="str">
        <f>MonthName&amp;" Total"</f>
        <v xml:space="preserve"> Total</v>
      </c>
      <c r="C14" s="22">
        <f>SUBTOTAL(103,March55[1])</f>
        <v>0</v>
      </c>
      <c r="D14" s="22">
        <f>SUBTOTAL(103,March55[2])</f>
        <v>0</v>
      </c>
      <c r="E14" s="22">
        <f>SUBTOTAL(103,March55[3])</f>
        <v>0</v>
      </c>
      <c r="F14" s="22">
        <f>SUBTOTAL(103,March55[4])</f>
        <v>0</v>
      </c>
      <c r="G14" s="22">
        <f>SUBTOTAL(103,March55[5])</f>
        <v>0</v>
      </c>
      <c r="H14" s="22">
        <f>SUBTOTAL(103,March55[6])</f>
        <v>0</v>
      </c>
      <c r="I14" s="22">
        <f>SUBTOTAL(103,March55[7])</f>
        <v>0</v>
      </c>
      <c r="J14" s="22">
        <f>SUBTOTAL(103,March55[8])</f>
        <v>0</v>
      </c>
      <c r="K14" s="22">
        <f>SUBTOTAL(103,March55[9])</f>
        <v>0</v>
      </c>
      <c r="L14" s="22">
        <f>SUBTOTAL(103,March55[10])</f>
        <v>0</v>
      </c>
      <c r="M14" s="22">
        <f>SUBTOTAL(103,March55[11])</f>
        <v>0</v>
      </c>
      <c r="N14" s="22">
        <f>SUBTOTAL(103,March55[12])</f>
        <v>0</v>
      </c>
      <c r="O14" s="22">
        <f>SUBTOTAL(103,March55[13])</f>
        <v>0</v>
      </c>
      <c r="P14" s="22">
        <f>SUBTOTAL(103,March55[14])</f>
        <v>0</v>
      </c>
      <c r="Q14" s="22">
        <f>SUBTOTAL(103,March55[15])</f>
        <v>0</v>
      </c>
      <c r="R14" s="22">
        <f>SUBTOTAL(103,March55[16])</f>
        <v>0</v>
      </c>
      <c r="S14" s="22">
        <f>SUBTOTAL(103,March55[17])</f>
        <v>0</v>
      </c>
      <c r="T14" s="22">
        <f>SUBTOTAL(103,March55[18])</f>
        <v>0</v>
      </c>
      <c r="U14" s="22">
        <f>SUBTOTAL(103,March55[19])</f>
        <v>0</v>
      </c>
      <c r="V14" s="22">
        <f>SUBTOTAL(103,March55[20])</f>
        <v>0</v>
      </c>
      <c r="W14" s="22">
        <f>SUBTOTAL(103,March55[21])</f>
        <v>0</v>
      </c>
      <c r="X14" s="22">
        <f>SUBTOTAL(103,March55[22])</f>
        <v>0</v>
      </c>
      <c r="Y14" s="22">
        <f>SUBTOTAL(103,March55[23])</f>
        <v>0</v>
      </c>
      <c r="Z14" s="22">
        <f>SUBTOTAL(103,March55[24])</f>
        <v>0</v>
      </c>
      <c r="AA14" s="22">
        <f>SUBTOTAL(103,March55[25])</f>
        <v>0</v>
      </c>
      <c r="AB14" s="22">
        <f>SUBTOTAL(103,March55[26])</f>
        <v>0</v>
      </c>
      <c r="AC14" s="22">
        <f>SUBTOTAL(103,March55[27])</f>
        <v>0</v>
      </c>
      <c r="AD14" s="22">
        <f>SUBTOTAL(103,March55[28])</f>
        <v>0</v>
      </c>
      <c r="AE14" s="22">
        <f>SUBTOTAL(103,March55[29])</f>
        <v>0</v>
      </c>
      <c r="AF14" s="22">
        <f>SUBTOTAL(109,March55[30])</f>
        <v>0</v>
      </c>
      <c r="AG14" s="22">
        <f>SUBTOTAL(109,March55[[ ]])</f>
        <v>0</v>
      </c>
      <c r="AH14" s="22">
        <f>SUBTOTAL(109,March55[Total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4" priority="2" stopIfTrue="1">
      <formula>C9=KeyCustom2</formula>
    </cfRule>
    <cfRule type="expression" dxfId="3" priority="3" stopIfTrue="1">
      <formula>C9=KeyCustom1</formula>
    </cfRule>
    <cfRule type="expression" dxfId="2" priority="4" stopIfTrue="1">
      <formula>C9=KeySick</formula>
    </cfRule>
    <cfRule type="expression" dxfId="1" priority="5" stopIfTrue="1">
      <formula>C9=KeyPersonal</formula>
    </cfRule>
    <cfRule type="expression" dxfId="0"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{5BAF86E0-19F0-4DF7-804A-BA6F11E1B24D}</x14:id>
        </ext>
      </extLst>
    </cfRule>
  </conditionalFormatting>
  <dataValidations count="15">
    <dataValidation allowBlank="1" showInputMessage="1" showErrorMessage="1" prompt="Automatically updated year based on year entered in January worksheet" sqref="AH6" xr:uid="{791C2763-AEF2-4267-B19C-5AB4EE4A127A}"/>
    <dataValidation allowBlank="1" showInputMessage="1" showErrorMessage="1" prompt="Automatically calculates total number of days an employee was absent this month in this column" sqref="AH8" xr:uid="{529BA362-2584-415B-AF1A-3D10FFA9DA1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1B418DB6-93BB-4089-9B2F-6C74D958C15C}"/>
    <dataValidation allowBlank="1" showInputMessage="1" showErrorMessage="1" prompt="Automatically updated title is in this cell. To modify the title, update B1 on January worksheet" sqref="B2" xr:uid="{4D252591-2C86-482A-9E5D-64367C3E8BAF}"/>
    <dataValidation allowBlank="1" showInputMessage="1" showErrorMessage="1" prompt="The letter &quot;V&quot; indicates absence due to vacation" sqref="C4" xr:uid="{C12EDB33-9EA7-42CA-AC04-81CE55BCB961}"/>
    <dataValidation allowBlank="1" showInputMessage="1" showErrorMessage="1" prompt="The letter &quot;P&quot; indicates absence due to personal reasons" sqref="G4" xr:uid="{3294FE8B-90DA-420D-88F6-1EAF64CF1407}"/>
    <dataValidation allowBlank="1" showInputMessage="1" showErrorMessage="1" prompt="The letter &quot;S&quot; indicates absence due to illness" sqref="K4" xr:uid="{0CEAD918-BB63-42DF-81FC-5E35E086B1E8}"/>
    <dataValidation allowBlank="1" showInputMessage="1" showErrorMessage="1" prompt="Enter a letter and customize the label at right to add another key item" sqref="N4 R4" xr:uid="{246292B7-A939-4A26-9B5F-BB5F11DA2BE8}"/>
    <dataValidation allowBlank="1" showInputMessage="1" showErrorMessage="1" prompt="Enter a label to describe the custom key at left" sqref="O4:Q4 S4:U4" xr:uid="{6B2B3239-639C-418C-85F2-E7681D660141}"/>
    <dataValidation allowBlank="1" showInputMessage="1" showErrorMessage="1" prompt="Month name for this absence schedule is in this cell. Absence totals for this month are in last cell of the table. Select employee names in table column B" sqref="B2" xr:uid="{80C89EDB-13A3-4F03-B7ED-BAF5D389896A}"/>
    <dataValidation allowBlank="1" showInputMessage="1" showErrorMessage="1" prompt="Days of the month in this row are automatically generated. Enter an employee's absence and absence type in each column for each day of the month. Blank means no absence" sqref="C8" xr:uid="{C5B82560-6318-4557-926A-70B9A3A6E591}"/>
    <dataValidation allowBlank="1" showInputMessage="1" showErrorMessage="1" prompt="Weekdays in this row are automatically updated for the month according to the year in AH4. Each day of the month is a column to note an employee's absence and absence type" sqref="C7" xr:uid="{70D70CA1-1610-479C-812A-80DDD92B3856}"/>
    <dataValidation allowBlank="1" showInputMessage="1" showErrorMessage="1" prompt="Track March absence in this worksheet" sqref="A1" xr:uid="{E0219740-3341-4043-88F8-04A667F3F43E}"/>
    <dataValidation allowBlank="1" showInputMessage="1" showErrorMessage="1" prompt="This row defines the keys used in the table: cell C4 is Vacation, G4 is Personal, &amp; K4 is Sick leave. Cells N4 &amp; R4 are customizable " sqref="B4" xr:uid="{66D59DEF-87F8-4C88-9880-1B7A8729D72A}"/>
    <dataValidation allowBlank="1" showInputMessage="1" showErrorMessage="1" prompt="Title of the worksheet is in this cell. " sqref="B1" xr:uid="{198FBBAA-97FB-404C-9BE8-97B8AAF4EBAB}"/>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BAF86E0-19F0-4DF7-804A-BA6F11E1B24D}">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TM16400463</Template>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Member List</vt:lpstr>
      <vt:lpstr>April</vt:lpstr>
      <vt:lpstr>Mei</vt:lpstr>
      <vt:lpstr>Mei!ColumnTitle1</vt:lpstr>
      <vt:lpstr>ColumnTitle1</vt:lpstr>
      <vt:lpstr>April!MonthName</vt:lpstr>
      <vt:lpstr>Mei!MonthName</vt:lpstr>
      <vt:lpstr>April!Print_Titles</vt:lpstr>
      <vt:lpstr>Mei!Print_Titles</vt:lpstr>
      <vt:lpstr>'Member 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ridho Ramadhan</dc:creator>
  <cp:lastModifiedBy>Muhammad Nasution</cp:lastModifiedBy>
  <dcterms:created xsi:type="dcterms:W3CDTF">2017-06-01T06:39:49Z</dcterms:created>
  <dcterms:modified xsi:type="dcterms:W3CDTF">2026-04-28T03:04:51Z</dcterms:modified>
</cp:coreProperties>
</file>